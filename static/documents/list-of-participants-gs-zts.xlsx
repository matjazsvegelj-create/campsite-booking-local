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1a355a6f363950/Desktop/ZTS/TC/Obrazci/EN2025/"/>
    </mc:Choice>
  </mc:AlternateContent>
  <xr:revisionPtr revIDLastSave="15" documentId="13_ncr:1_{2AE2AE22-B15A-4712-9A35-FA3DD96047F0}" xr6:coauthVersionLast="47" xr6:coauthVersionMax="47" xr10:uidLastSave="{029094AE-AF73-42B2-A104-E21C69004FB2}"/>
  <bookViews>
    <workbookView xWindow="-120" yWindow="-120" windowWidth="29040" windowHeight="15720" xr2:uid="{00000000-000D-0000-FFFF-FFFF00000000}"/>
  </bookViews>
  <sheets>
    <sheet name="Gostje_eTurizem" sheetId="1" r:id="rId1"/>
    <sheet name="Sif_spol" sheetId="6" state="hidden" r:id="rId2"/>
    <sheet name="Sif_prostori" sheetId="2" state="hidden" r:id="rId3"/>
    <sheet name="Sif_dokumenti" sheetId="3" state="hidden" r:id="rId4"/>
    <sheet name="Sif_drzave" sheetId="4" state="hidden" r:id="rId5"/>
    <sheet name="Sif_taksa" sheetId="5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9" i="1"/>
  <c r="K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9" i="1"/>
  <c r="K10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" i="1"/>
  <c r="F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9" i="1"/>
</calcChain>
</file>

<file path=xl/sharedStrings.xml><?xml version="1.0" encoding="utf-8"?>
<sst xmlns="http://schemas.openxmlformats.org/spreadsheetml/2006/main" count="882" uniqueCount="586">
  <si>
    <t>ID</t>
  </si>
  <si>
    <t>TABORNI PROSTOR GOZDNA ŠOLA ZTS</t>
  </si>
  <si>
    <t>idNO</t>
  </si>
  <si>
    <t>Prostor</t>
  </si>
  <si>
    <t>107474</t>
  </si>
  <si>
    <t>GOZDNA ŠOLA ZTS</t>
  </si>
  <si>
    <t>107479</t>
  </si>
  <si>
    <t>107486</t>
  </si>
  <si>
    <t>TABORNI PROSTOR LAŠKI ROVT ZTS</t>
  </si>
  <si>
    <t>Koda</t>
  </si>
  <si>
    <t>Naziv</t>
  </si>
  <si>
    <t>F</t>
  </si>
  <si>
    <t>Border pass</t>
  </si>
  <si>
    <t>H</t>
  </si>
  <si>
    <t>Travel documents under an international treaty</t>
  </si>
  <si>
    <t>I</t>
  </si>
  <si>
    <t>ID card</t>
  </si>
  <si>
    <t>L</t>
  </si>
  <si>
    <t>Children, citizens of the Republic of Slovenia, without a document</t>
  </si>
  <si>
    <t>O</t>
  </si>
  <si>
    <t>Weapon leaf</t>
  </si>
  <si>
    <t>P</t>
  </si>
  <si>
    <t>Passport</t>
  </si>
  <si>
    <t>U</t>
  </si>
  <si>
    <t>Administrative documents</t>
  </si>
  <si>
    <t>V</t>
  </si>
  <si>
    <t>Driving license</t>
  </si>
  <si>
    <t>Opis</t>
  </si>
  <si>
    <t>M</t>
  </si>
  <si>
    <t>Male</t>
  </si>
  <si>
    <t>Female</t>
  </si>
  <si>
    <t>AF</t>
  </si>
  <si>
    <t>AX</t>
  </si>
  <si>
    <t>AL</t>
  </si>
  <si>
    <t>DZ</t>
  </si>
  <si>
    <t>AS</t>
  </si>
  <si>
    <t>VI</t>
  </si>
  <si>
    <t>AD</t>
  </si>
  <si>
    <t>AO</t>
  </si>
  <si>
    <t>Angola</t>
  </si>
  <si>
    <t>AI</t>
  </si>
  <si>
    <t>AQ</t>
  </si>
  <si>
    <t>Antarktika</t>
  </si>
  <si>
    <t>AG</t>
  </si>
  <si>
    <t>AR</t>
  </si>
  <si>
    <t>Argentina</t>
  </si>
  <si>
    <t>AM</t>
  </si>
  <si>
    <t>AW</t>
  </si>
  <si>
    <t>Aruba</t>
  </si>
  <si>
    <t>AU</t>
  </si>
  <si>
    <t>AT</t>
  </si>
  <si>
    <t>AZ</t>
  </si>
  <si>
    <t>BS</t>
  </si>
  <si>
    <t>BH</t>
  </si>
  <si>
    <t>BD</t>
  </si>
  <si>
    <t>BB</t>
  </si>
  <si>
    <t>Barbados</t>
  </si>
  <si>
    <t>BE</t>
  </si>
  <si>
    <t>BZ</t>
  </si>
  <si>
    <t>Belize</t>
  </si>
  <si>
    <t>BY</t>
  </si>
  <si>
    <t>BJ</t>
  </si>
  <si>
    <t>Benin</t>
  </si>
  <si>
    <t>BM</t>
  </si>
  <si>
    <t>BW</t>
  </si>
  <si>
    <t>BG</t>
  </si>
  <si>
    <t>BO</t>
  </si>
  <si>
    <t>BA</t>
  </si>
  <si>
    <t>BV</t>
  </si>
  <si>
    <t>CX</t>
  </si>
  <si>
    <t>BR</t>
  </si>
  <si>
    <t>VG</t>
  </si>
  <si>
    <t>IO</t>
  </si>
  <si>
    <t>BN</t>
  </si>
  <si>
    <t>BF</t>
  </si>
  <si>
    <t>Burkina Faso</t>
  </si>
  <si>
    <t>BI</t>
  </si>
  <si>
    <t>Burundi</t>
  </si>
  <si>
    <t>BT</t>
  </si>
  <si>
    <t>CY</t>
  </si>
  <si>
    <t>CK</t>
  </si>
  <si>
    <t>TD</t>
  </si>
  <si>
    <t>CZ</t>
  </si>
  <si>
    <t>CL</t>
  </si>
  <si>
    <t>ME</t>
  </si>
  <si>
    <t>DK</t>
  </si>
  <si>
    <t>CD</t>
  </si>
  <si>
    <t>DM</t>
  </si>
  <si>
    <t>DO</t>
  </si>
  <si>
    <t>DJ</t>
  </si>
  <si>
    <t>EG</t>
  </si>
  <si>
    <t>EC</t>
  </si>
  <si>
    <t>GQ</t>
  </si>
  <si>
    <t>ER</t>
  </si>
  <si>
    <t>EE</t>
  </si>
  <si>
    <t>ET</t>
  </si>
  <si>
    <t>FK</t>
  </si>
  <si>
    <t>FO</t>
  </si>
  <si>
    <t>Ferski otoki</t>
  </si>
  <si>
    <t>FJ</t>
  </si>
  <si>
    <t>PH</t>
  </si>
  <si>
    <t>Filipini</t>
  </si>
  <si>
    <t>FI</t>
  </si>
  <si>
    <t>FR</t>
  </si>
  <si>
    <t>GF</t>
  </si>
  <si>
    <t>TF</t>
  </si>
  <si>
    <t>PF</t>
  </si>
  <si>
    <t>YT</t>
  </si>
  <si>
    <t>RE</t>
  </si>
  <si>
    <t>GA</t>
  </si>
  <si>
    <t>Gabon</t>
  </si>
  <si>
    <t>GM</t>
  </si>
  <si>
    <t>GH</t>
  </si>
  <si>
    <t>GI</t>
  </si>
  <si>
    <t>Gibraltar</t>
  </si>
  <si>
    <t>GR</t>
  </si>
  <si>
    <t>GD</t>
  </si>
  <si>
    <t>Grenada</t>
  </si>
  <si>
    <t>GL</t>
  </si>
  <si>
    <t>GE</t>
  </si>
  <si>
    <t>GP</t>
  </si>
  <si>
    <t>Guadeloupe</t>
  </si>
  <si>
    <t>GU</t>
  </si>
  <si>
    <t>Guam</t>
  </si>
  <si>
    <t>GY</t>
  </si>
  <si>
    <t>GT</t>
  </si>
  <si>
    <t>GN</t>
  </si>
  <si>
    <t>GW</t>
  </si>
  <si>
    <t>HT</t>
  </si>
  <si>
    <t>Haiti</t>
  </si>
  <si>
    <t>HN</t>
  </si>
  <si>
    <t>Honduras</t>
  </si>
  <si>
    <t>HK</t>
  </si>
  <si>
    <t>Hong Kong</t>
  </si>
  <si>
    <t>HR</t>
  </si>
  <si>
    <t>IN</t>
  </si>
  <si>
    <t>IQ</t>
  </si>
  <si>
    <t>IR</t>
  </si>
  <si>
    <t>Iran</t>
  </si>
  <si>
    <t>IE</t>
  </si>
  <si>
    <t>IS</t>
  </si>
  <si>
    <t>IT</t>
  </si>
  <si>
    <t>IL</t>
  </si>
  <si>
    <t>JM</t>
  </si>
  <si>
    <t>JP</t>
  </si>
  <si>
    <t>YE</t>
  </si>
  <si>
    <t>JO</t>
  </si>
  <si>
    <t>ZA</t>
  </si>
  <si>
    <t>GS</t>
  </si>
  <si>
    <t>KR</t>
  </si>
  <si>
    <t>SS</t>
  </si>
  <si>
    <t>KY</t>
  </si>
  <si>
    <t>KH</t>
  </si>
  <si>
    <t>CM</t>
  </si>
  <si>
    <t>CA</t>
  </si>
  <si>
    <t>CV</t>
  </si>
  <si>
    <t>QA</t>
  </si>
  <si>
    <t>KZ</t>
  </si>
  <si>
    <t>KE</t>
  </si>
  <si>
    <t>KG</t>
  </si>
  <si>
    <t>KI</t>
  </si>
  <si>
    <t>Kiribati</t>
  </si>
  <si>
    <t>CN</t>
  </si>
  <si>
    <t>CC</t>
  </si>
  <si>
    <t>CO</t>
  </si>
  <si>
    <t>KM</t>
  </si>
  <si>
    <t>Komori</t>
  </si>
  <si>
    <t>CG</t>
  </si>
  <si>
    <t>XK</t>
  </si>
  <si>
    <t>Kosovo</t>
  </si>
  <si>
    <t>CR</t>
  </si>
  <si>
    <t>CU</t>
  </si>
  <si>
    <t>CW</t>
  </si>
  <si>
    <t>KW</t>
  </si>
  <si>
    <t>LA</t>
  </si>
  <si>
    <t>Laos</t>
  </si>
  <si>
    <t>LV</t>
  </si>
  <si>
    <t>LS</t>
  </si>
  <si>
    <t>LB</t>
  </si>
  <si>
    <t>Libanon</t>
  </si>
  <si>
    <t>LR</t>
  </si>
  <si>
    <t>LY</t>
  </si>
  <si>
    <t>LI</t>
  </si>
  <si>
    <t>LT</t>
  </si>
  <si>
    <t>LU</t>
  </si>
  <si>
    <t>MG</t>
  </si>
  <si>
    <t>HU</t>
  </si>
  <si>
    <t>MO</t>
  </si>
  <si>
    <t>MK</t>
  </si>
  <si>
    <t>MW</t>
  </si>
  <si>
    <t>MV</t>
  </si>
  <si>
    <t>MY</t>
  </si>
  <si>
    <t>ML</t>
  </si>
  <si>
    <t>Mali</t>
  </si>
  <si>
    <t>MT</t>
  </si>
  <si>
    <t>Malta</t>
  </si>
  <si>
    <t>MA</t>
  </si>
  <si>
    <t>MH</t>
  </si>
  <si>
    <t>MQ</t>
  </si>
  <si>
    <t>MU</t>
  </si>
  <si>
    <t>MR</t>
  </si>
  <si>
    <t>MX</t>
  </si>
  <si>
    <t>FM</t>
  </si>
  <si>
    <t>MM</t>
  </si>
  <si>
    <t>MD</t>
  </si>
  <si>
    <t>MC</t>
  </si>
  <si>
    <t>MN</t>
  </si>
  <si>
    <t>MS</t>
  </si>
  <si>
    <t>MZ</t>
  </si>
  <si>
    <t>NA</t>
  </si>
  <si>
    <t>NR</t>
  </si>
  <si>
    <t>Nauru</t>
  </si>
  <si>
    <t>DE</t>
  </si>
  <si>
    <t>NP</t>
  </si>
  <si>
    <t>Nepal</t>
  </si>
  <si>
    <t>99</t>
  </si>
  <si>
    <t>NE</t>
  </si>
  <si>
    <t>Niger</t>
  </si>
  <si>
    <t>NG</t>
  </si>
  <si>
    <t>NI</t>
  </si>
  <si>
    <t>NU</t>
  </si>
  <si>
    <t>Niu</t>
  </si>
  <si>
    <t>NL</t>
  </si>
  <si>
    <t>NO</t>
  </si>
  <si>
    <t>NC</t>
  </si>
  <si>
    <t>NZ</t>
  </si>
  <si>
    <t>OM</t>
  </si>
  <si>
    <t>Oman</t>
  </si>
  <si>
    <t>BQ</t>
  </si>
  <si>
    <t>WF</t>
  </si>
  <si>
    <t>GG</t>
  </si>
  <si>
    <t>HM</t>
  </si>
  <si>
    <t>JE</t>
  </si>
  <si>
    <t>IM</t>
  </si>
  <si>
    <t>NF</t>
  </si>
  <si>
    <t>MF</t>
  </si>
  <si>
    <t>SX</t>
  </si>
  <si>
    <t>PK</t>
  </si>
  <si>
    <t>Pakistan</t>
  </si>
  <si>
    <t>PW</t>
  </si>
  <si>
    <t>Palau</t>
  </si>
  <si>
    <t>PS</t>
  </si>
  <si>
    <t>PA</t>
  </si>
  <si>
    <t>Panama</t>
  </si>
  <si>
    <t>PG</t>
  </si>
  <si>
    <t>PY</t>
  </si>
  <si>
    <t>PE</t>
  </si>
  <si>
    <t>Peru</t>
  </si>
  <si>
    <t>PN</t>
  </si>
  <si>
    <t>PL</t>
  </si>
  <si>
    <t>PR</t>
  </si>
  <si>
    <t>Portoriko</t>
  </si>
  <si>
    <t>PT</t>
  </si>
  <si>
    <t>VU</t>
  </si>
  <si>
    <t>RO</t>
  </si>
  <si>
    <t>RW</t>
  </si>
  <si>
    <t>RU</t>
  </si>
  <si>
    <t>SV</t>
  </si>
  <si>
    <t>Salvador</t>
  </si>
  <si>
    <t>WS</t>
  </si>
  <si>
    <t>Samoa</t>
  </si>
  <si>
    <t>SM</t>
  </si>
  <si>
    <t>San Marino</t>
  </si>
  <si>
    <t>ST</t>
  </si>
  <si>
    <t>SA</t>
  </si>
  <si>
    <t>SC</t>
  </si>
  <si>
    <t>SN</t>
  </si>
  <si>
    <t>Senegal</t>
  </si>
  <si>
    <t>KP</t>
  </si>
  <si>
    <t>MP</t>
  </si>
  <si>
    <t>SL</t>
  </si>
  <si>
    <t>Siera Leone</t>
  </si>
  <si>
    <t>SG</t>
  </si>
  <si>
    <t>Singapur</t>
  </si>
  <si>
    <t>SY</t>
  </si>
  <si>
    <t>CI</t>
  </si>
  <si>
    <t>SK</t>
  </si>
  <si>
    <t>SI</t>
  </si>
  <si>
    <t>SB</t>
  </si>
  <si>
    <t>SO</t>
  </si>
  <si>
    <t>RS</t>
  </si>
  <si>
    <t>CF</t>
  </si>
  <si>
    <t>SD</t>
  </si>
  <si>
    <t>Sudan</t>
  </si>
  <si>
    <t>SR</t>
  </si>
  <si>
    <t>SJ</t>
  </si>
  <si>
    <t>Svalbard in Jan Majen</t>
  </si>
  <si>
    <t>SZ</t>
  </si>
  <si>
    <t>SH</t>
  </si>
  <si>
    <t>LC</t>
  </si>
  <si>
    <t>Sveta Lucija</t>
  </si>
  <si>
    <t>PM</t>
  </si>
  <si>
    <t>Sveta Pierre in Miquelon</t>
  </si>
  <si>
    <t>BL</t>
  </si>
  <si>
    <t>KN</t>
  </si>
  <si>
    <t>VC</t>
  </si>
  <si>
    <t>ES</t>
  </si>
  <si>
    <t>LK</t>
  </si>
  <si>
    <t>SE</t>
  </si>
  <si>
    <t>CH</t>
  </si>
  <si>
    <t>TJ</t>
  </si>
  <si>
    <t>TH</t>
  </si>
  <si>
    <t>TW</t>
  </si>
  <si>
    <t>TZ</t>
  </si>
  <si>
    <t>TC</t>
  </si>
  <si>
    <t>TG</t>
  </si>
  <si>
    <t>Togo</t>
  </si>
  <si>
    <t>TK</t>
  </si>
  <si>
    <t>Tokelau</t>
  </si>
  <si>
    <t>TO</t>
  </si>
  <si>
    <t>Tonga</t>
  </si>
  <si>
    <t>TT</t>
  </si>
  <si>
    <t>Trinidad in Tobago</t>
  </si>
  <si>
    <t>TN</t>
  </si>
  <si>
    <t>TR</t>
  </si>
  <si>
    <t>TM</t>
  </si>
  <si>
    <t>Turkmenistan</t>
  </si>
  <si>
    <t>TV</t>
  </si>
  <si>
    <t>Tuvalu</t>
  </si>
  <si>
    <t>UG</t>
  </si>
  <si>
    <t>Uganda</t>
  </si>
  <si>
    <t>UA</t>
  </si>
  <si>
    <t>UY</t>
  </si>
  <si>
    <t>UZ</t>
  </si>
  <si>
    <t>Uzbekistan</t>
  </si>
  <si>
    <t>VA</t>
  </si>
  <si>
    <t>GB</t>
  </si>
  <si>
    <t>VE</t>
  </si>
  <si>
    <t>Venezuela</t>
  </si>
  <si>
    <t>VN</t>
  </si>
  <si>
    <t>Vietnam</t>
  </si>
  <si>
    <t>TL</t>
  </si>
  <si>
    <t>EH</t>
  </si>
  <si>
    <t>ZM</t>
  </si>
  <si>
    <t>Zambija</t>
  </si>
  <si>
    <t>UM</t>
  </si>
  <si>
    <t>US</t>
  </si>
  <si>
    <t>AE</t>
  </si>
  <si>
    <t>ZW</t>
  </si>
  <si>
    <t>Afghanistan</t>
  </si>
  <si>
    <t>Åland Islands</t>
  </si>
  <si>
    <t>Albania</t>
  </si>
  <si>
    <t>Algeria</t>
  </si>
  <si>
    <t>American Samoa</t>
  </si>
  <si>
    <t>United States Virgin Islands</t>
  </si>
  <si>
    <t>Andorra</t>
  </si>
  <si>
    <t>Anguilla</t>
  </si>
  <si>
    <t>Antigua and Barbuda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</si>
  <si>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</si>
  <si>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</si>
  <si>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</si>
  <si>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</si>
  <si>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</si>
  <si>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</si>
  <si>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</si>
  <si>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Belgium</t>
  </si>
  <si>
    <t>Belarus</t>
  </si>
  <si>
    <t>Bermuda</t>
  </si>
  <si>
    <t>Botswana</t>
  </si>
  <si>
    <t>Bulgaria</t>
  </si>
  <si>
    <t>Bolivia</t>
  </si>
  <si>
    <t>Bosnia and Herzegovina</t>
  </si>
  <si>
    <t>Bouvet Island</t>
  </si>
  <si>
    <t>Christmas Island</t>
  </si>
  <si>
    <t>Brazil</t>
  </si>
  <si>
    <t>British Virgin Islands</t>
  </si>
  <si>
    <t>British Indian Ocean Territory</t>
  </si>
  <si>
    <t xml:space="preserve">Brunei </t>
  </si>
  <si>
    <t>Bhutan</t>
  </si>
  <si>
    <t>Cyprus</t>
  </si>
  <si>
    <t>Cook Islands</t>
  </si>
  <si>
    <t>Chad</t>
  </si>
  <si>
    <t>Czechia</t>
  </si>
  <si>
    <t>Chile</t>
  </si>
  <si>
    <t>Montenegro</t>
  </si>
  <si>
    <t>Denmark</t>
  </si>
  <si>
    <t>Democratic Republic of the Congo</t>
  </si>
  <si>
    <t>Dominica</t>
  </si>
  <si>
    <t>Dominican Republic</t>
  </si>
  <si>
    <t>Djibouti</t>
  </si>
  <si>
    <t>Egypt</t>
  </si>
  <si>
    <t>Ecuador</t>
  </si>
  <si>
    <t>Equatorial Guinea</t>
  </si>
  <si>
    <t>Eritrea</t>
  </si>
  <si>
    <t>Estonia</t>
  </si>
  <si>
    <t>Ethiopia</t>
  </si>
  <si>
    <t>Falkland Islands</t>
  </si>
  <si>
    <t>Fiji</t>
  </si>
  <si>
    <t>Finland</t>
  </si>
  <si>
    <t>France</t>
  </si>
  <si>
    <t>French Guiana</t>
  </si>
  <si>
    <t>French Southern and Antarctic Lands</t>
  </si>
  <si>
    <t>French Polynesia</t>
  </si>
  <si>
    <t>Department of Mayotte</t>
  </si>
  <si>
    <t>Réunion</t>
  </si>
  <si>
    <t>Gambia, The</t>
  </si>
  <si>
    <t>Ghana</t>
  </si>
  <si>
    <t>Greece</t>
  </si>
  <si>
    <t>Greenland</t>
  </si>
  <si>
    <t>Georgia</t>
  </si>
  <si>
    <t>Guyana</t>
  </si>
  <si>
    <t>Guatemala</t>
  </si>
  <si>
    <t>Guinea</t>
  </si>
  <si>
    <t>Guinea-Bissau</t>
  </si>
  <si>
    <t>Croatia</t>
  </si>
  <si>
    <t>India</t>
  </si>
  <si>
    <t>Indonesia</t>
  </si>
  <si>
    <t>Iraq</t>
  </si>
  <si>
    <t>Ireland</t>
  </si>
  <si>
    <t>Iceland</t>
  </si>
  <si>
    <t>Italy</t>
  </si>
  <si>
    <t>Israel</t>
  </si>
  <si>
    <t>Jamaica</t>
  </si>
  <si>
    <t>Japan</t>
  </si>
  <si>
    <t>Yemen</t>
  </si>
  <si>
    <t>Jordan</t>
  </si>
  <si>
    <t>Republic of South Africa</t>
  </si>
  <si>
    <t>South Georgia and the South Sandwich Islands</t>
  </si>
  <si>
    <t>South Korea</t>
  </si>
  <si>
    <t>South Sudan</t>
  </si>
  <si>
    <t>Cayman Islands</t>
  </si>
  <si>
    <t>Cambodia</t>
  </si>
  <si>
    <t>Cameroon</t>
  </si>
  <si>
    <t>Canada</t>
  </si>
  <si>
    <t>Cape Verde</t>
  </si>
  <si>
    <t>Qatar</t>
  </si>
  <si>
    <t>Kazakhstan</t>
  </si>
  <si>
    <t>Kenya</t>
  </si>
  <si>
    <t>Kyrgyzstan</t>
  </si>
  <si>
    <t>China</t>
  </si>
  <si>
    <t xml:space="preserve">Cocos Islands and Keeling Islands </t>
  </si>
  <si>
    <t>Colombia</t>
  </si>
  <si>
    <t>Congo</t>
  </si>
  <si>
    <t>Costa Rica</t>
  </si>
  <si>
    <t>Cuba</t>
  </si>
  <si>
    <t>Curacao</t>
  </si>
  <si>
    <t>Kuwait</t>
  </si>
  <si>
    <t>Latvia</t>
  </si>
  <si>
    <t>Lesotho</t>
  </si>
  <si>
    <t>Liberia</t>
  </si>
  <si>
    <t>Libya</t>
  </si>
  <si>
    <t>Liechtenstein</t>
  </si>
  <si>
    <t>Lithuania</t>
  </si>
  <si>
    <t>Luxembourg</t>
  </si>
  <si>
    <t>Madagascar</t>
  </si>
  <si>
    <t>Hungary</t>
  </si>
  <si>
    <t>Macau</t>
  </si>
  <si>
    <t>Macedonia</t>
  </si>
  <si>
    <t>Malawi</t>
  </si>
  <si>
    <t>Maldives</t>
  </si>
  <si>
    <t>Malaysia</t>
  </si>
  <si>
    <t>Morocco</t>
  </si>
  <si>
    <t>Marshall Islands</t>
  </si>
  <si>
    <t>Martinique</t>
  </si>
  <si>
    <t>Mauritius</t>
  </si>
  <si>
    <t>Mauritania</t>
  </si>
  <si>
    <t>Mexico</t>
  </si>
  <si>
    <t>Micronesia</t>
  </si>
  <si>
    <t>Myanmar</t>
  </si>
  <si>
    <t>Moldova</t>
  </si>
  <si>
    <t>Monaco</t>
  </si>
  <si>
    <t>Mongolia</t>
  </si>
  <si>
    <t>Montserrat</t>
  </si>
  <si>
    <t>Mozambique</t>
  </si>
  <si>
    <t>Namibia</t>
  </si>
  <si>
    <t>Germany</t>
  </si>
  <si>
    <t>Other</t>
  </si>
  <si>
    <t>Nigeria</t>
  </si>
  <si>
    <t>Nicaragua</t>
  </si>
  <si>
    <t>Netherlands</t>
  </si>
  <si>
    <t>Norway</t>
  </si>
  <si>
    <t>New Caledonia</t>
  </si>
  <si>
    <t>New Zealand</t>
  </si>
  <si>
    <t>Bonaire, Sint Eustatius, and Saba</t>
  </si>
  <si>
    <t>Wallis and Futuna</t>
  </si>
  <si>
    <t>Bailiwick of Guernsey</t>
  </si>
  <si>
    <t>Heard Island and the McDonald Islands</t>
  </si>
  <si>
    <t>Bailiwick of Jersey</t>
  </si>
  <si>
    <t>Isle of Man</t>
  </si>
  <si>
    <t>Norfolk Island</t>
  </si>
  <si>
    <t>Saint-Martin</t>
  </si>
  <si>
    <t>St.Maarten</t>
  </si>
  <si>
    <t>Palestinian Territories</t>
  </si>
  <si>
    <t>Papua New Guinea</t>
  </si>
  <si>
    <t>Paraguay</t>
  </si>
  <si>
    <t>Pitcairn Islands</t>
  </si>
  <si>
    <t>Poland</t>
  </si>
  <si>
    <t>Portugal</t>
  </si>
  <si>
    <t>Republic of Vanuatu</t>
  </si>
  <si>
    <t>Romania</t>
  </si>
  <si>
    <t>Rwanda</t>
  </si>
  <si>
    <t>Russia</t>
  </si>
  <si>
    <t>Sao Tome and Principe</t>
  </si>
  <si>
    <t>Saudi Arabia</t>
  </si>
  <si>
    <t>Seychelles</t>
  </si>
  <si>
    <t>North Korea</t>
  </si>
  <si>
    <t>Northern Mariana Islands</t>
  </si>
  <si>
    <t>Syria</t>
  </si>
  <si>
    <t>Ivory Coast</t>
  </si>
  <si>
    <t>Slovakia</t>
  </si>
  <si>
    <t>Slovenia</t>
  </si>
  <si>
    <t>Solomon Islands</t>
  </si>
  <si>
    <t>Somalia</t>
  </si>
  <si>
    <t>Serbia</t>
  </si>
  <si>
    <t>Central African Republic</t>
  </si>
  <si>
    <t>Suriname</t>
  </si>
  <si>
    <t>Swaziland</t>
  </si>
  <si>
    <t>Saint Helena</t>
  </si>
  <si>
    <t>Saint Barthélemy</t>
  </si>
  <si>
    <t>Saint Kitts and Nevis</t>
  </si>
  <si>
    <t>Saint Vincent and the Grenadines</t>
  </si>
  <si>
    <t>Spain</t>
  </si>
  <si>
    <t>Sri Lanka</t>
  </si>
  <si>
    <t>Sweden</t>
  </si>
  <si>
    <t>Switzerland</t>
  </si>
  <si>
    <t>Tajikistan</t>
  </si>
  <si>
    <t>Thailand</t>
  </si>
  <si>
    <t>Taiwan</t>
  </si>
  <si>
    <t>Tanzania</t>
  </si>
  <si>
    <t>Turks and Caicos Islands</t>
  </si>
  <si>
    <t>Tunisia</t>
  </si>
  <si>
    <t>Turkey</t>
  </si>
  <si>
    <t>Ukraine</t>
  </si>
  <si>
    <t>Uruguay</t>
  </si>
  <si>
    <t>Great Britain</t>
  </si>
  <si>
    <t>East Timor</t>
  </si>
  <si>
    <t>Western Sahara</t>
  </si>
  <si>
    <t>United States Minor Outlying Islands</t>
  </si>
  <si>
    <t>United States of America</t>
  </si>
  <si>
    <t>United Arab Emirates</t>
  </si>
  <si>
    <t xml:space="preserve">Zimbabwe </t>
  </si>
  <si>
    <t>0</t>
  </si>
  <si>
    <t>1</t>
  </si>
  <si>
    <t>10</t>
  </si>
  <si>
    <t>11</t>
  </si>
  <si>
    <t>12</t>
  </si>
  <si>
    <t>13</t>
  </si>
  <si>
    <t>14</t>
  </si>
  <si>
    <t>15</t>
  </si>
  <si>
    <t>16</t>
  </si>
  <si>
    <t>2</t>
  </si>
  <si>
    <t>3</t>
  </si>
  <si>
    <t>4</t>
  </si>
  <si>
    <t>5</t>
  </si>
  <si>
    <t>6</t>
  </si>
  <si>
    <t>7</t>
  </si>
  <si>
    <t>8</t>
  </si>
  <si>
    <t>9</t>
  </si>
  <si>
    <t xml:space="preserve">Full tourist tax (no exemption) </t>
  </si>
  <si>
    <t xml:space="preserve">Exemption - child up to 7 years of age </t>
  </si>
  <si>
    <t xml:space="preserve">Exemption - the regulation of the municipality </t>
  </si>
  <si>
    <t xml:space="preserve">Half-pay (50%) - a person from 7 to 18 years of age </t>
  </si>
  <si>
    <t xml:space="preserve">Half-board (50%) - youth hostels IYHF </t>
  </si>
  <si>
    <t xml:space="preserve">Half-pay (50%) - campsite tourists </t>
  </si>
  <si>
    <t xml:space="preserve">Half-pay (50%) - the municipality's rule </t>
  </si>
  <si>
    <t xml:space="preserve">Partial payment - a municipality regulation </t>
  </si>
  <si>
    <t xml:space="preserve">No payment - no overnight accommodation (daily rest, etc.) </t>
  </si>
  <si>
    <t xml:space="preserve">Exemption - a medical referral </t>
  </si>
  <si>
    <t xml:space="preserve">Exemption - disability, physical impairment </t>
  </si>
  <si>
    <t xml:space="preserve">Exemption - child with special needs </t>
  </si>
  <si>
    <t xml:space="preserve">Exemption - educational program </t>
  </si>
  <si>
    <t xml:space="preserve">Exemption - students, students in homes </t>
  </si>
  <si>
    <t xml:space="preserve">Exemption - Temporary work over 30 days </t>
  </si>
  <si>
    <t xml:space="preserve">Exemption - an international treaty </t>
  </si>
  <si>
    <t>Exemption - mountain lodge (members of the PZS)</t>
  </si>
  <si>
    <t>Campsite</t>
  </si>
  <si>
    <t>Name</t>
  </si>
  <si>
    <t>Surname</t>
  </si>
  <si>
    <t>Gender</t>
  </si>
  <si>
    <t>Date of birth</t>
  </si>
  <si>
    <t>Country</t>
  </si>
  <si>
    <t xml:space="preserve">
Identity document</t>
  </si>
  <si>
    <t>Number of ID</t>
  </si>
  <si>
    <t>Time of arrival</t>
  </si>
  <si>
    <t>Time of departure</t>
  </si>
  <si>
    <t>Type of tourist tax</t>
  </si>
  <si>
    <t>Tax fee</t>
  </si>
  <si>
    <t>Group name:</t>
  </si>
  <si>
    <t>Contact person:</t>
  </si>
  <si>
    <t>Group leader:</t>
  </si>
  <si>
    <t xml:space="preserve">SCOUT CENTER BOHINJ </t>
  </si>
  <si>
    <t>LIST OF PARTICIPANTS</t>
  </si>
  <si>
    <t xml:space="preserve"> </t>
  </si>
  <si>
    <t>Exemption - volunteers for the elimination of natural disasters</t>
  </si>
  <si>
    <t>Exemption - police officers in the period of their duties</t>
  </si>
  <si>
    <t>Exemption - participants of holidays through societies in the public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</si>
</sst>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1"/>
      <color rgb="FF222222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0" fontId="4" fillId="2" borderId="0"/>
    <xf numFmtId="0" fontId="4" fillId="2" borderId="0"/>
    <xf numFmtId="0" fontId="4" fillId="2" borderId="0"/>
    <xf numFmtId="0" fontId="4" fillId="2" borderId="0"/>
    <xf numFmtId="0" fontId="10" fillId="8" borderId="0" applyNumberFormat="0" applyBorder="0" applyAlignment="0" applyProtection="0"/>
  </cellStyleXfs>
  <cellXfs count="39">
    <xf numFmtId="0" fontId="0" fillId="0" borderId="0" xfId="0"/>
    <xf numFmtId="0" fontId="5" fillId="3" borderId="1" xfId="1" applyFont="1" applyFill="1" applyBorder="1" applyAlignment="1">
      <alignment horizontal="center"/>
    </xf>
    <xf numFmtId="0" fontId="5" fillId="2" borderId="2" xfId="1" applyFont="1" applyBorder="1" applyAlignment="1">
      <alignment wrapText="1"/>
    </xf>
    <xf numFmtId="0" fontId="5" fillId="3" borderId="1" xfId="2" applyFont="1" applyFill="1" applyBorder="1" applyAlignment="1">
      <alignment horizontal="center"/>
    </xf>
    <xf numFmtId="0" fontId="5" fillId="2" borderId="2" xfId="2" applyFont="1" applyBorder="1" applyAlignment="1">
      <alignment wrapText="1"/>
    </xf>
    <xf numFmtId="0" fontId="5" fillId="3" borderId="1" xfId="3" applyFont="1" applyFill="1" applyBorder="1" applyAlignment="1">
      <alignment horizontal="center"/>
    </xf>
    <xf numFmtId="0" fontId="5" fillId="2" borderId="2" xfId="3" applyFont="1" applyBorder="1" applyAlignment="1">
      <alignment wrapText="1"/>
    </xf>
    <xf numFmtId="0" fontId="3" fillId="0" borderId="3" xfId="0" applyFont="1" applyBorder="1" applyProtection="1">
      <protection locked="0"/>
    </xf>
    <xf numFmtId="14" fontId="3" fillId="0" borderId="3" xfId="0" applyNumberFormat="1" applyFont="1" applyBorder="1" applyProtection="1">
      <protection locked="0"/>
    </xf>
    <xf numFmtId="0" fontId="0" fillId="2" borderId="0" xfId="0" applyFill="1"/>
    <xf numFmtId="0" fontId="5" fillId="2" borderId="0" xfId="3" applyFont="1" applyAlignment="1">
      <alignment wrapText="1"/>
    </xf>
    <xf numFmtId="0" fontId="9" fillId="7" borderId="0" xfId="0" applyFont="1" applyFill="1" applyAlignment="1" applyProtection="1">
      <alignment horizontal="left"/>
      <protection locked="0"/>
    </xf>
    <xf numFmtId="0" fontId="2" fillId="0" borderId="3" xfId="0" applyFont="1" applyBorder="1" applyProtection="1">
      <protection locked="0"/>
    </xf>
    <xf numFmtId="0" fontId="5" fillId="2" borderId="0" xfId="2" applyFont="1" applyAlignment="1">
      <alignment wrapText="1"/>
    </xf>
    <xf numFmtId="0" fontId="1" fillId="0" borderId="3" xfId="0" applyFont="1" applyBorder="1" applyProtection="1">
      <protection locked="0"/>
    </xf>
    <xf numFmtId="14" fontId="6" fillId="6" borderId="0" xfId="0" applyNumberFormat="1" applyFont="1" applyFill="1"/>
    <xf numFmtId="0" fontId="6" fillId="6" borderId="0" xfId="0" applyFont="1" applyFill="1"/>
    <xf numFmtId="0" fontId="7" fillId="6" borderId="0" xfId="0" applyFont="1" applyFill="1"/>
    <xf numFmtId="14" fontId="3" fillId="6" borderId="0" xfId="0" applyNumberFormat="1" applyFont="1" applyFill="1"/>
    <xf numFmtId="0" fontId="3" fillId="6" borderId="0" xfId="0" applyFont="1" applyFill="1"/>
    <xf numFmtId="14" fontId="7" fillId="6" borderId="0" xfId="0" applyNumberFormat="1" applyFont="1" applyFill="1"/>
    <xf numFmtId="0" fontId="7" fillId="6" borderId="0" xfId="0" applyFont="1" applyFill="1" applyAlignment="1">
      <alignment horizontal="right"/>
    </xf>
    <xf numFmtId="0" fontId="8" fillId="5" borderId="3" xfId="0" applyFont="1" applyFill="1" applyBorder="1" applyAlignment="1">
      <alignment horizontal="center"/>
    </xf>
    <xf numFmtId="14" fontId="8" fillId="5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3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4" fontId="3" fillId="0" borderId="0" xfId="0" applyNumberFormat="1" applyFont="1" applyProtection="1">
      <protection locked="0"/>
    </xf>
    <xf numFmtId="0" fontId="11" fillId="3" borderId="1" xfId="4" applyFont="1" applyFill="1" applyBorder="1" applyAlignment="1">
      <alignment horizontal="center"/>
    </xf>
    <xf numFmtId="0" fontId="11" fillId="3" borderId="5" xfId="4" applyFont="1" applyFill="1" applyBorder="1" applyAlignment="1">
      <alignment horizontal="center"/>
    </xf>
    <xf numFmtId="0" fontId="12" fillId="0" borderId="0" xfId="0" applyFont="1"/>
    <xf numFmtId="0" fontId="11" fillId="2" borderId="4" xfId="4" applyFont="1" applyBorder="1" applyAlignment="1">
      <alignment wrapText="1"/>
    </xf>
    <xf numFmtId="0" fontId="13" fillId="0" borderId="0" xfId="0" applyFont="1" applyAlignment="1">
      <alignment vertical="center"/>
    </xf>
    <xf numFmtId="0" fontId="13" fillId="0" borderId="0" xfId="5" applyFont="1" applyFill="1" applyBorder="1" applyAlignment="1">
      <alignment vertical="center"/>
    </xf>
    <xf numFmtId="0" fontId="14" fillId="0" borderId="0" xfId="5" applyFont="1" applyFill="1" applyBorder="1" applyAlignment="1">
      <alignment vertical="center"/>
    </xf>
    <xf numFmtId="0" fontId="9" fillId="7" borderId="0" xfId="0" applyFont="1" applyFill="1" applyAlignment="1" applyProtection="1">
      <alignment horizontal="left"/>
      <protection locked="0"/>
    </xf>
  </cellXfs>
  <cellStyles count="6">
    <cellStyle name="Navadno" xfId="0" builtinId="0"/>
    <cellStyle name="Normal_Sif_dokumenti" xfId="1" xr:uid="{00000000-0005-0000-0000-000002000000}"/>
    <cellStyle name="Normal_Sif_drzave" xfId="3" xr:uid="{00000000-0005-0000-0000-000003000000}"/>
    <cellStyle name="Normal_Sif_prostori" xfId="2" xr:uid="{00000000-0005-0000-0000-000004000000}"/>
    <cellStyle name="Normal_Sif_taksa" xfId="4" xr:uid="{00000000-0005-0000-0000-000005000000}"/>
    <cellStyle name="Slabo" xfId="5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8"/>
  <sheetViews>
    <sheetView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ColWidth="9.140625" defaultRowHeight="15" x14ac:dyDescent="0.25"/>
  <cols>
    <col min="1" max="1" width="6.140625" style="29" customWidth="1"/>
    <col min="2" max="2" width="7.42578125" style="29" customWidth="1"/>
    <col min="3" max="3" width="34.42578125" style="27" customWidth="1"/>
    <col min="4" max="4" width="23.5703125" style="27" customWidth="1"/>
    <col min="5" max="5" width="13.85546875" style="27" customWidth="1"/>
    <col min="6" max="6" width="5.42578125" style="27" customWidth="1"/>
    <col min="7" max="7" width="13.85546875" style="27" customWidth="1"/>
    <col min="8" max="8" width="13.85546875" style="30" customWidth="1"/>
    <col min="9" max="9" width="5.42578125" style="30" customWidth="1"/>
    <col min="10" max="10" width="17.85546875" style="27" customWidth="1"/>
    <col min="11" max="11" width="5.42578125" style="27" customWidth="1"/>
    <col min="12" max="12" width="17.7109375" style="27" bestFit="1" customWidth="1"/>
    <col min="13" max="13" width="22.42578125" style="27" customWidth="1"/>
    <col min="14" max="14" width="16.140625" style="30" customWidth="1"/>
    <col min="15" max="15" width="18.5703125" style="30" customWidth="1"/>
    <col min="16" max="16" width="7" style="30" customWidth="1"/>
    <col min="17" max="17" width="33.140625" style="27" customWidth="1"/>
    <col min="18" max="18" width="11.5703125" style="27" bestFit="1" customWidth="1"/>
    <col min="19" max="16384" width="9.140625" style="27"/>
  </cols>
  <sheetData>
    <row r="1" spans="1:18" x14ac:dyDescent="0.25">
      <c r="A1" s="15"/>
      <c r="B1" s="15"/>
      <c r="C1" s="16" t="s">
        <v>580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  <c r="O1" s="18"/>
      <c r="P1" s="18"/>
      <c r="Q1" s="19"/>
      <c r="R1" s="19"/>
    </row>
    <row r="2" spans="1:18" x14ac:dyDescent="0.25">
      <c r="A2" s="15"/>
      <c r="B2" s="15"/>
      <c r="C2" s="17"/>
      <c r="D2" s="17"/>
      <c r="E2" s="17"/>
      <c r="F2" s="17"/>
      <c r="G2" s="20"/>
      <c r="H2" s="21"/>
      <c r="I2" s="21"/>
      <c r="J2" s="20"/>
      <c r="K2" s="20"/>
      <c r="L2" s="17"/>
      <c r="M2" s="17"/>
      <c r="N2" s="18"/>
      <c r="O2" s="18"/>
      <c r="P2" s="18"/>
      <c r="Q2" s="19"/>
      <c r="R2" s="19"/>
    </row>
    <row r="3" spans="1:18" x14ac:dyDescent="0.25">
      <c r="A3" s="15"/>
      <c r="B3" s="15"/>
      <c r="C3" s="16" t="s">
        <v>581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  <c r="P3" s="18"/>
      <c r="Q3" s="19"/>
      <c r="R3" s="19"/>
    </row>
    <row r="4" spans="1:18" x14ac:dyDescent="0.25">
      <c r="A4" s="15"/>
      <c r="B4" s="15"/>
      <c r="C4" s="16" t="s">
        <v>577</v>
      </c>
      <c r="D4" s="38"/>
      <c r="E4" s="38"/>
      <c r="F4" s="38"/>
      <c r="G4" s="38"/>
      <c r="H4" s="38"/>
      <c r="I4" s="38"/>
      <c r="J4" s="38"/>
      <c r="K4" s="11"/>
      <c r="L4" s="17"/>
      <c r="M4" s="17"/>
      <c r="N4" s="18"/>
      <c r="O4" s="18"/>
      <c r="P4" s="18"/>
      <c r="Q4" s="19"/>
      <c r="R4" s="19"/>
    </row>
    <row r="5" spans="1:18" x14ac:dyDescent="0.25">
      <c r="A5" s="15"/>
      <c r="B5" s="15"/>
      <c r="C5" s="16" t="s">
        <v>579</v>
      </c>
      <c r="D5" s="38"/>
      <c r="E5" s="38"/>
      <c r="F5" s="38"/>
      <c r="G5" s="38"/>
      <c r="H5" s="38"/>
      <c r="I5" s="38"/>
      <c r="J5" s="38"/>
      <c r="K5" s="11"/>
      <c r="L5" s="17"/>
      <c r="M5" s="17"/>
      <c r="N5" s="18"/>
      <c r="O5" s="18"/>
      <c r="P5" s="18"/>
      <c r="Q5" s="19"/>
      <c r="R5" s="19"/>
    </row>
    <row r="6" spans="1:18" x14ac:dyDescent="0.25">
      <c r="A6" s="15"/>
      <c r="B6" s="15"/>
      <c r="C6" s="15" t="s">
        <v>578</v>
      </c>
      <c r="D6" s="38"/>
      <c r="E6" s="38"/>
      <c r="F6" s="38"/>
      <c r="G6" s="38"/>
      <c r="H6" s="38"/>
      <c r="I6" s="38"/>
      <c r="J6" s="38"/>
      <c r="K6" s="11"/>
      <c r="L6" s="19"/>
      <c r="M6" s="19"/>
      <c r="N6" s="18"/>
      <c r="O6" s="18"/>
      <c r="P6" s="18"/>
      <c r="Q6" s="19"/>
      <c r="R6" s="19"/>
    </row>
    <row r="7" spans="1:18" x14ac:dyDescent="0.25">
      <c r="A7" s="15"/>
      <c r="B7" s="15"/>
      <c r="C7" s="19"/>
      <c r="D7" s="19"/>
      <c r="E7" s="19"/>
      <c r="F7" s="19"/>
      <c r="G7" s="19"/>
      <c r="H7" s="18"/>
      <c r="I7" s="18"/>
      <c r="J7" s="19"/>
      <c r="K7" s="19"/>
      <c r="L7" s="19"/>
      <c r="M7" s="19"/>
      <c r="N7" s="18"/>
      <c r="O7" s="18"/>
      <c r="P7" s="18"/>
      <c r="Q7" s="19"/>
      <c r="R7" s="19"/>
    </row>
    <row r="8" spans="1:18" s="28" customFormat="1" ht="30" x14ac:dyDescent="0.25">
      <c r="A8" s="22" t="s">
        <v>0</v>
      </c>
      <c r="B8" s="22"/>
      <c r="C8" s="22" t="s">
        <v>565</v>
      </c>
      <c r="D8" s="22" t="s">
        <v>566</v>
      </c>
      <c r="E8" s="22" t="s">
        <v>567</v>
      </c>
      <c r="F8" s="22"/>
      <c r="G8" s="22" t="s">
        <v>568</v>
      </c>
      <c r="H8" s="23" t="s">
        <v>569</v>
      </c>
      <c r="I8" s="23"/>
      <c r="J8" s="22" t="s">
        <v>570</v>
      </c>
      <c r="K8" s="22"/>
      <c r="L8" s="24" t="s">
        <v>571</v>
      </c>
      <c r="M8" s="22" t="s">
        <v>572</v>
      </c>
      <c r="N8" s="23" t="s">
        <v>573</v>
      </c>
      <c r="O8" s="23" t="s">
        <v>574</v>
      </c>
      <c r="P8" s="23"/>
      <c r="Q8" s="22" t="s">
        <v>575</v>
      </c>
      <c r="R8" s="22" t="s">
        <v>576</v>
      </c>
    </row>
    <row r="9" spans="1:18" x14ac:dyDescent="0.25">
      <c r="A9" s="25">
        <v>1</v>
      </c>
      <c r="B9" s="25" t="e">
        <f>VLOOKUP(C9,Sif_prostori!$B$2:$C$4,2,FALSE)</f>
        <v>#N/A</v>
      </c>
      <c r="C9" s="7"/>
      <c r="D9" s="12"/>
      <c r="E9" s="12"/>
      <c r="F9" s="25" t="e">
        <f>VLOOKUP(G9,Sif_spol!$B$2:$C$3,2,FALSE)</f>
        <v>#N/A</v>
      </c>
      <c r="G9" s="7"/>
      <c r="H9" s="8"/>
      <c r="I9" s="25" t="e">
        <f>VLOOKUP(J9,Sif_drzave!$B$2:$C$252,2,FALSE)</f>
        <v>#N/A</v>
      </c>
      <c r="J9" s="7"/>
      <c r="K9" s="25" t="e">
        <f>VLOOKUP(L9,Sif_dokumenti!$B$2:$C$9,2,FALSE)</f>
        <v>#N/A</v>
      </c>
      <c r="L9" s="7"/>
      <c r="M9" s="12"/>
      <c r="N9" s="8"/>
      <c r="O9" s="8"/>
      <c r="P9" s="25" t="e">
        <f>VLOOKUP(Q9,Sif_taksa!$B$2:$C$21,2,FALSE)</f>
        <v>#N/A</v>
      </c>
      <c r="Q9" s="26"/>
      <c r="R9" s="26"/>
    </row>
    <row r="10" spans="1:18" x14ac:dyDescent="0.25">
      <c r="A10" s="25">
        <v>2</v>
      </c>
      <c r="B10" s="25" t="e">
        <f>VLOOKUP(C10,Sif_prostori!$B$2:$C$4,2,FALSE)</f>
        <v>#N/A</v>
      </c>
      <c r="C10" s="7"/>
      <c r="D10" s="14"/>
      <c r="E10" s="14"/>
      <c r="F10" s="25" t="e">
        <f>VLOOKUP(G10,Sif_spol!$B$2:$C$3,2,FALSE)</f>
        <v>#N/A</v>
      </c>
      <c r="G10" s="7"/>
      <c r="H10" s="8"/>
      <c r="I10" s="25" t="e">
        <f>VLOOKUP(J10,Sif_drzave!$B$2:$C$252,2,FALSE)</f>
        <v>#N/A</v>
      </c>
      <c r="J10" s="7"/>
      <c r="K10" s="25" t="e">
        <f>VLOOKUP(L10,Sif_dokumenti!$B$2:$C$9,2,FALSE)</f>
        <v>#N/A</v>
      </c>
      <c r="L10" s="7"/>
      <c r="M10" s="7"/>
      <c r="N10" s="8"/>
      <c r="O10" s="8"/>
      <c r="P10" s="25" t="e">
        <f>VLOOKUP(Q10,Sif_taksa!$B$2:$C$21,2,FALSE)</f>
        <v>#N/A</v>
      </c>
      <c r="Q10" s="26"/>
      <c r="R10" s="26"/>
    </row>
    <row r="11" spans="1:18" x14ac:dyDescent="0.25">
      <c r="A11" s="25">
        <v>3</v>
      </c>
      <c r="B11" s="25" t="e">
        <f>VLOOKUP(C11,Sif_prostori!$B$2:$C$4,2,FALSE)</f>
        <v>#N/A</v>
      </c>
      <c r="C11" s="7"/>
      <c r="D11" s="7"/>
      <c r="E11" s="7"/>
      <c r="F11" s="25" t="e">
        <f>VLOOKUP(G11,Sif_spol!$B$2:$C$3,2,FALSE)</f>
        <v>#N/A</v>
      </c>
      <c r="G11" s="7"/>
      <c r="H11" s="8"/>
      <c r="I11" s="25" t="e">
        <f>VLOOKUP(J11,Sif_drzave!$B$2:$C$252,2,FALSE)</f>
        <v>#N/A</v>
      </c>
      <c r="J11" s="7"/>
      <c r="K11" s="25" t="e">
        <f>VLOOKUP(L11,Sif_dokumenti!$B$2:$C$9,2,FALSE)</f>
        <v>#N/A</v>
      </c>
      <c r="L11" s="7"/>
      <c r="M11" s="7"/>
      <c r="N11" s="8"/>
      <c r="O11" s="8"/>
      <c r="P11" s="25" t="e">
        <f>VLOOKUP(Q11,Sif_taksa!$B$2:$C$21,2,FALSE)</f>
        <v>#N/A</v>
      </c>
      <c r="Q11" s="26"/>
      <c r="R11" s="26"/>
    </row>
    <row r="12" spans="1:18" x14ac:dyDescent="0.25">
      <c r="A12" s="25">
        <v>4</v>
      </c>
      <c r="B12" s="25" t="e">
        <f>VLOOKUP(C12,Sif_prostori!$B$2:$C$4,2,FALSE)</f>
        <v>#N/A</v>
      </c>
      <c r="C12" s="7"/>
      <c r="D12" s="7"/>
      <c r="E12" s="7"/>
      <c r="F12" s="25" t="e">
        <f>VLOOKUP(G12,Sif_spol!$B$2:$C$3,2,FALSE)</f>
        <v>#N/A</v>
      </c>
      <c r="G12" s="7"/>
      <c r="H12" s="8"/>
      <c r="I12" s="25" t="e">
        <f>VLOOKUP(J12,Sif_drzave!$B$2:$C$252,2,FALSE)</f>
        <v>#N/A</v>
      </c>
      <c r="J12" s="7"/>
      <c r="K12" s="25" t="e">
        <f>VLOOKUP(L12,Sif_dokumenti!$B$2:$C$9,2,FALSE)</f>
        <v>#N/A</v>
      </c>
      <c r="L12" s="7"/>
      <c r="M12" s="14"/>
      <c r="N12" s="8"/>
      <c r="O12" s="8"/>
      <c r="P12" s="25" t="e">
        <f>VLOOKUP(Q12,Sif_taksa!$B$2:$C$21,2,FALSE)</f>
        <v>#N/A</v>
      </c>
      <c r="Q12" s="26"/>
      <c r="R12" s="26"/>
    </row>
    <row r="13" spans="1:18" x14ac:dyDescent="0.25">
      <c r="A13" s="25">
        <v>5</v>
      </c>
      <c r="B13" s="25" t="e">
        <f>VLOOKUP(C13,Sif_prostori!$B$2:$C$4,2,FALSE)</f>
        <v>#N/A</v>
      </c>
      <c r="C13" s="7"/>
      <c r="D13" s="7"/>
      <c r="E13" s="7"/>
      <c r="F13" s="25" t="e">
        <f>VLOOKUP(G13,Sif_spol!$B$2:$C$3,2,FALSE)</f>
        <v>#N/A</v>
      </c>
      <c r="G13" s="7"/>
      <c r="H13" s="8"/>
      <c r="I13" s="25" t="e">
        <f>VLOOKUP(J13,Sif_drzave!$B$2:$C$252,2,FALSE)</f>
        <v>#N/A</v>
      </c>
      <c r="J13" s="7"/>
      <c r="K13" s="25" t="e">
        <f>VLOOKUP(L13,Sif_dokumenti!$B$2:$C$9,2,FALSE)</f>
        <v>#N/A</v>
      </c>
      <c r="L13" s="7"/>
      <c r="M13" s="7"/>
      <c r="N13" s="8"/>
      <c r="O13" s="8"/>
      <c r="P13" s="25" t="e">
        <f>VLOOKUP(Q13,Sif_taksa!$B$2:$C$21,2,FALSE)</f>
        <v>#N/A</v>
      </c>
      <c r="Q13" s="26"/>
      <c r="R13" s="26"/>
    </row>
    <row r="14" spans="1:18" x14ac:dyDescent="0.25">
      <c r="A14" s="25">
        <v>6</v>
      </c>
      <c r="B14" s="25" t="e">
        <f>VLOOKUP(C14,Sif_prostori!$B$2:$C$4,2,FALSE)</f>
        <v>#N/A</v>
      </c>
      <c r="C14" s="7"/>
      <c r="D14" s="7"/>
      <c r="E14" s="7"/>
      <c r="F14" s="25" t="e">
        <f>VLOOKUP(G14,Sif_spol!$B$2:$C$3,2,FALSE)</f>
        <v>#N/A</v>
      </c>
      <c r="G14" s="7"/>
      <c r="H14" s="8"/>
      <c r="I14" s="25" t="e">
        <f>VLOOKUP(J14,Sif_drzave!$B$2:$C$252,2,FALSE)</f>
        <v>#N/A</v>
      </c>
      <c r="J14" s="7"/>
      <c r="K14" s="25" t="e">
        <f>VLOOKUP(L14,Sif_dokumenti!$B$2:$C$9,2,FALSE)</f>
        <v>#N/A</v>
      </c>
      <c r="L14" s="7"/>
      <c r="M14" s="7"/>
      <c r="N14" s="8"/>
      <c r="O14" s="8"/>
      <c r="P14" s="25" t="e">
        <f>VLOOKUP(Q14,Sif_taksa!$B$2:$C$21,2,FALSE)</f>
        <v>#N/A</v>
      </c>
      <c r="Q14" s="26"/>
      <c r="R14" s="26"/>
    </row>
    <row r="15" spans="1:18" x14ac:dyDescent="0.25">
      <c r="A15" s="25">
        <v>7</v>
      </c>
      <c r="B15" s="25" t="e">
        <f>VLOOKUP(C15,Sif_prostori!$B$2:$C$4,2,FALSE)</f>
        <v>#N/A</v>
      </c>
      <c r="C15" s="7"/>
      <c r="D15" s="7"/>
      <c r="E15" s="7"/>
      <c r="F15" s="25" t="e">
        <f>VLOOKUP(G15,Sif_spol!$B$2:$C$3,2,FALSE)</f>
        <v>#N/A</v>
      </c>
      <c r="G15" s="7"/>
      <c r="H15" s="8"/>
      <c r="I15" s="25" t="e">
        <f>VLOOKUP(J15,Sif_drzave!$B$2:$C$252,2,FALSE)</f>
        <v>#N/A</v>
      </c>
      <c r="J15" s="7"/>
      <c r="K15" s="25" t="e">
        <f>VLOOKUP(L15,Sif_dokumenti!$B$2:$C$9,2,FALSE)</f>
        <v>#N/A</v>
      </c>
      <c r="L15" s="7"/>
      <c r="M15" s="7"/>
      <c r="N15" s="8"/>
      <c r="O15" s="8"/>
      <c r="P15" s="25" t="e">
        <f>VLOOKUP(Q15,Sif_taksa!$B$2:$C$21,2,FALSE)</f>
        <v>#N/A</v>
      </c>
      <c r="Q15" s="26"/>
      <c r="R15" s="26"/>
    </row>
    <row r="16" spans="1:18" x14ac:dyDescent="0.25">
      <c r="A16" s="25">
        <v>8</v>
      </c>
      <c r="B16" s="25" t="e">
        <f>VLOOKUP(C16,Sif_prostori!$B$2:$C$4,2,FALSE)</f>
        <v>#N/A</v>
      </c>
      <c r="C16" s="7"/>
      <c r="D16" s="7"/>
      <c r="E16" s="7"/>
      <c r="F16" s="25" t="e">
        <f>VLOOKUP(G16,Sif_spol!$B$2:$C$3,2,FALSE)</f>
        <v>#N/A</v>
      </c>
      <c r="G16" s="7"/>
      <c r="H16" s="8"/>
      <c r="I16" s="25" t="e">
        <f>VLOOKUP(J16,Sif_drzave!$B$2:$C$252,2,FALSE)</f>
        <v>#N/A</v>
      </c>
      <c r="J16" s="7"/>
      <c r="K16" s="25" t="e">
        <f>VLOOKUP(L16,Sif_dokumenti!$B$2:$C$9,2,FALSE)</f>
        <v>#N/A</v>
      </c>
      <c r="L16" s="7"/>
      <c r="M16" s="7"/>
      <c r="N16" s="8"/>
      <c r="O16" s="8"/>
      <c r="P16" s="25" t="e">
        <f>VLOOKUP(Q16,Sif_taksa!$B$2:$C$21,2,FALSE)</f>
        <v>#N/A</v>
      </c>
      <c r="Q16" s="26"/>
      <c r="R16" s="26"/>
    </row>
    <row r="17" spans="1:18" x14ac:dyDescent="0.25">
      <c r="A17" s="25">
        <v>9</v>
      </c>
      <c r="B17" s="25" t="e">
        <f>VLOOKUP(C17,Sif_prostori!$B$2:$C$4,2,FALSE)</f>
        <v>#N/A</v>
      </c>
      <c r="C17" s="7"/>
      <c r="D17" s="7"/>
      <c r="E17" s="7"/>
      <c r="F17" s="25" t="e">
        <f>VLOOKUP(G17,Sif_spol!$B$2:$C$3,2,FALSE)</f>
        <v>#N/A</v>
      </c>
      <c r="G17" s="7"/>
      <c r="H17" s="8"/>
      <c r="I17" s="25" t="e">
        <f>VLOOKUP(J17,Sif_drzave!$B$2:$C$252,2,FALSE)</f>
        <v>#N/A</v>
      </c>
      <c r="J17" s="7"/>
      <c r="K17" s="25" t="e">
        <f>VLOOKUP(L17,Sif_dokumenti!$B$2:$C$9,2,FALSE)</f>
        <v>#N/A</v>
      </c>
      <c r="L17" s="7"/>
      <c r="M17" s="7"/>
      <c r="N17" s="8"/>
      <c r="O17" s="8"/>
      <c r="P17" s="25" t="e">
        <f>VLOOKUP(Q17,Sif_taksa!$B$2:$C$21,2,FALSE)</f>
        <v>#N/A</v>
      </c>
      <c r="Q17" s="26"/>
      <c r="R17" s="26"/>
    </row>
    <row r="18" spans="1:18" x14ac:dyDescent="0.25">
      <c r="A18" s="25">
        <v>10</v>
      </c>
      <c r="B18" s="25" t="e">
        <f>VLOOKUP(C18,Sif_prostori!$B$2:$C$4,2,FALSE)</f>
        <v>#N/A</v>
      </c>
      <c r="C18" s="7"/>
      <c r="D18" s="7"/>
      <c r="E18" s="7"/>
      <c r="F18" s="25" t="e">
        <f>VLOOKUP(G18,Sif_spol!$B$2:$C$3,2,FALSE)</f>
        <v>#N/A</v>
      </c>
      <c r="G18" s="7"/>
      <c r="H18" s="8"/>
      <c r="I18" s="25" t="e">
        <f>VLOOKUP(J18,Sif_drzave!$B$2:$C$252,2,FALSE)</f>
        <v>#N/A</v>
      </c>
      <c r="J18" s="7"/>
      <c r="K18" s="25" t="e">
        <f>VLOOKUP(L18,Sif_dokumenti!$B$2:$C$9,2,FALSE)</f>
        <v>#N/A</v>
      </c>
      <c r="L18" s="7"/>
      <c r="M18" s="7"/>
      <c r="N18" s="8"/>
      <c r="O18" s="8"/>
      <c r="P18" s="25" t="e">
        <f>VLOOKUP(Q18,Sif_taksa!$B$2:$C$21,2,FALSE)</f>
        <v>#N/A</v>
      </c>
      <c r="Q18" s="26"/>
      <c r="R18" s="26"/>
    </row>
    <row r="19" spans="1:18" x14ac:dyDescent="0.25">
      <c r="A19" s="25">
        <v>11</v>
      </c>
      <c r="B19" s="25" t="e">
        <f>VLOOKUP(C19,Sif_prostori!$B$2:$C$4,2,FALSE)</f>
        <v>#N/A</v>
      </c>
      <c r="C19" s="7"/>
      <c r="D19" s="7"/>
      <c r="E19" s="7"/>
      <c r="F19" s="25" t="e">
        <f>VLOOKUP(G19,Sif_spol!$B$2:$C$3,2,FALSE)</f>
        <v>#N/A</v>
      </c>
      <c r="G19" s="7"/>
      <c r="H19" s="8"/>
      <c r="I19" s="25" t="e">
        <f>VLOOKUP(J19,Sif_drzave!$B$2:$C$252,2,FALSE)</f>
        <v>#N/A</v>
      </c>
      <c r="J19" s="7"/>
      <c r="K19" s="25" t="e">
        <f>VLOOKUP(L19,Sif_dokumenti!$B$2:$C$9,2,FALSE)</f>
        <v>#N/A</v>
      </c>
      <c r="L19" s="7"/>
      <c r="M19" s="7"/>
      <c r="N19" s="8"/>
      <c r="O19" s="8"/>
      <c r="P19" s="25" t="e">
        <f>VLOOKUP(Q19,Sif_taksa!$B$2:$C$21,2,FALSE)</f>
        <v>#N/A</v>
      </c>
      <c r="Q19" s="26"/>
      <c r="R19" s="26"/>
    </row>
    <row r="20" spans="1:18" x14ac:dyDescent="0.25">
      <c r="A20" s="25">
        <v>12</v>
      </c>
      <c r="B20" s="25" t="e">
        <f>VLOOKUP(C20,Sif_prostori!$B$2:$C$4,2,FALSE)</f>
        <v>#N/A</v>
      </c>
      <c r="C20" s="7"/>
      <c r="D20" s="7"/>
      <c r="E20" s="7"/>
      <c r="F20" s="25" t="e">
        <f>VLOOKUP(G20,Sif_spol!$B$2:$C$3,2,FALSE)</f>
        <v>#N/A</v>
      </c>
      <c r="G20" s="7"/>
      <c r="H20" s="8"/>
      <c r="I20" s="25" t="e">
        <f>VLOOKUP(J20,Sif_drzave!$B$2:$C$252,2,FALSE)</f>
        <v>#N/A</v>
      </c>
      <c r="J20" s="7"/>
      <c r="K20" s="25" t="e">
        <f>VLOOKUP(L20,Sif_dokumenti!$B$2:$C$9,2,FALSE)</f>
        <v>#N/A</v>
      </c>
      <c r="L20" s="7"/>
      <c r="M20" s="7"/>
      <c r="N20" s="8"/>
      <c r="O20" s="8"/>
      <c r="P20" s="25" t="e">
        <f>VLOOKUP(Q20,Sif_taksa!$B$2:$C$21,2,FALSE)</f>
        <v>#N/A</v>
      </c>
      <c r="Q20" s="26"/>
      <c r="R20" s="26"/>
    </row>
    <row r="21" spans="1:18" x14ac:dyDescent="0.25">
      <c r="A21" s="25">
        <v>13</v>
      </c>
      <c r="B21" s="25" t="e">
        <f>VLOOKUP(C21,Sif_prostori!$B$2:$C$4,2,FALSE)</f>
        <v>#N/A</v>
      </c>
      <c r="C21" s="7"/>
      <c r="D21" s="7"/>
      <c r="E21" s="7"/>
      <c r="F21" s="25" t="e">
        <f>VLOOKUP(G21,Sif_spol!$B$2:$C$3,2,FALSE)</f>
        <v>#N/A</v>
      </c>
      <c r="G21" s="7"/>
      <c r="H21" s="8"/>
      <c r="I21" s="25" t="e">
        <f>VLOOKUP(J21,Sif_drzave!$B$2:$C$252,2,FALSE)</f>
        <v>#N/A</v>
      </c>
      <c r="J21" s="7"/>
      <c r="K21" s="25" t="e">
        <f>VLOOKUP(L21,Sif_dokumenti!$B$2:$C$9,2,FALSE)</f>
        <v>#N/A</v>
      </c>
      <c r="L21" s="7"/>
      <c r="M21" s="7"/>
      <c r="N21" s="8"/>
      <c r="O21" s="8"/>
      <c r="P21" s="25" t="e">
        <f>VLOOKUP(Q21,Sif_taksa!$B$2:$C$21,2,FALSE)</f>
        <v>#N/A</v>
      </c>
      <c r="Q21" s="26"/>
      <c r="R21" s="26"/>
    </row>
    <row r="22" spans="1:18" x14ac:dyDescent="0.25">
      <c r="A22" s="25">
        <v>14</v>
      </c>
      <c r="B22" s="25" t="e">
        <f>VLOOKUP(C22,Sif_prostori!$B$2:$C$4,2,FALSE)</f>
        <v>#N/A</v>
      </c>
      <c r="C22" s="7"/>
      <c r="D22" s="7"/>
      <c r="E22" s="7"/>
      <c r="F22" s="25" t="e">
        <f>VLOOKUP(G22,Sif_spol!$B$2:$C$3,2,FALSE)</f>
        <v>#N/A</v>
      </c>
      <c r="G22" s="7"/>
      <c r="H22" s="8"/>
      <c r="I22" s="25" t="e">
        <f>VLOOKUP(J22,Sif_drzave!$B$2:$C$252,2,FALSE)</f>
        <v>#N/A</v>
      </c>
      <c r="J22" s="7"/>
      <c r="K22" s="25" t="e">
        <f>VLOOKUP(L22,Sif_dokumenti!$B$2:$C$9,2,FALSE)</f>
        <v>#N/A</v>
      </c>
      <c r="L22" s="7"/>
      <c r="M22" s="7"/>
      <c r="N22" s="8"/>
      <c r="O22" s="8"/>
      <c r="P22" s="25" t="e">
        <f>VLOOKUP(Q22,Sif_taksa!$B$2:$C$21,2,FALSE)</f>
        <v>#N/A</v>
      </c>
      <c r="Q22" s="26"/>
      <c r="R22" s="26"/>
    </row>
    <row r="23" spans="1:18" x14ac:dyDescent="0.25">
      <c r="A23" s="25">
        <v>15</v>
      </c>
      <c r="B23" s="25" t="e">
        <f>VLOOKUP(C23,Sif_prostori!$B$2:$C$4,2,FALSE)</f>
        <v>#N/A</v>
      </c>
      <c r="C23" s="7"/>
      <c r="D23" s="7"/>
      <c r="E23" s="7"/>
      <c r="F23" s="25" t="e">
        <f>VLOOKUP(G23,Sif_spol!$B$2:$C$3,2,FALSE)</f>
        <v>#N/A</v>
      </c>
      <c r="G23" s="7"/>
      <c r="H23" s="8"/>
      <c r="I23" s="25" t="e">
        <f>VLOOKUP(J23,Sif_drzave!$B$2:$C$252,2,FALSE)</f>
        <v>#N/A</v>
      </c>
      <c r="J23" s="7"/>
      <c r="K23" s="25" t="e">
        <f>VLOOKUP(L23,Sif_dokumenti!$B$2:$C$9,2,FALSE)</f>
        <v>#N/A</v>
      </c>
      <c r="L23" s="7"/>
      <c r="M23" s="7"/>
      <c r="N23" s="8"/>
      <c r="O23" s="8"/>
      <c r="P23" s="25" t="e">
        <f>VLOOKUP(Q23,Sif_taksa!$B$2:$C$21,2,FALSE)</f>
        <v>#N/A</v>
      </c>
      <c r="Q23" s="26"/>
      <c r="R23" s="26"/>
    </row>
    <row r="24" spans="1:18" x14ac:dyDescent="0.25">
      <c r="A24" s="25">
        <v>16</v>
      </c>
      <c r="B24" s="25" t="e">
        <f>VLOOKUP(C24,Sif_prostori!$B$2:$C$4,2,FALSE)</f>
        <v>#N/A</v>
      </c>
      <c r="C24" s="7"/>
      <c r="D24" s="7"/>
      <c r="E24" s="7"/>
      <c r="F24" s="25" t="e">
        <f>VLOOKUP(G24,Sif_spol!$B$2:$C$3,2,FALSE)</f>
        <v>#N/A</v>
      </c>
      <c r="G24" s="7"/>
      <c r="H24" s="8"/>
      <c r="I24" s="25" t="e">
        <f>VLOOKUP(J24,Sif_drzave!$B$2:$C$252,2,FALSE)</f>
        <v>#N/A</v>
      </c>
      <c r="J24" s="7"/>
      <c r="K24" s="25" t="e">
        <f>VLOOKUP(L24,Sif_dokumenti!$B$2:$C$9,2,FALSE)</f>
        <v>#N/A</v>
      </c>
      <c r="L24" s="7"/>
      <c r="M24" s="7"/>
      <c r="N24" s="8"/>
      <c r="O24" s="8"/>
      <c r="P24" s="25" t="e">
        <f>VLOOKUP(Q24,Sif_taksa!$B$2:$C$21,2,FALSE)</f>
        <v>#N/A</v>
      </c>
      <c r="Q24" s="26"/>
      <c r="R24" s="26"/>
    </row>
    <row r="25" spans="1:18" x14ac:dyDescent="0.25">
      <c r="A25" s="25">
        <v>17</v>
      </c>
      <c r="B25" s="25" t="e">
        <f>VLOOKUP(C25,Sif_prostori!$B$2:$C$4,2,FALSE)</f>
        <v>#N/A</v>
      </c>
      <c r="C25" s="7"/>
      <c r="D25" s="7"/>
      <c r="E25" s="7"/>
      <c r="F25" s="25" t="e">
        <f>VLOOKUP(G25,Sif_spol!$B$2:$C$3,2,FALSE)</f>
        <v>#N/A</v>
      </c>
      <c r="G25" s="7"/>
      <c r="H25" s="8"/>
      <c r="I25" s="25" t="e">
        <f>VLOOKUP(J25,Sif_drzave!$B$2:$C$252,2,FALSE)</f>
        <v>#N/A</v>
      </c>
      <c r="J25" s="7"/>
      <c r="K25" s="25" t="e">
        <f>VLOOKUP(L25,Sif_dokumenti!$B$2:$C$9,2,FALSE)</f>
        <v>#N/A</v>
      </c>
      <c r="L25" s="7"/>
      <c r="M25" s="7"/>
      <c r="N25" s="8"/>
      <c r="O25" s="8"/>
      <c r="P25" s="25" t="e">
        <f>VLOOKUP(Q25,Sif_taksa!$B$2:$C$21,2,FALSE)</f>
        <v>#N/A</v>
      </c>
      <c r="Q25" s="26"/>
      <c r="R25" s="26"/>
    </row>
    <row r="26" spans="1:18" x14ac:dyDescent="0.25">
      <c r="A26" s="25">
        <v>18</v>
      </c>
      <c r="B26" s="25" t="e">
        <f>VLOOKUP(C26,Sif_prostori!$B$2:$C$4,2,FALSE)</f>
        <v>#N/A</v>
      </c>
      <c r="C26" s="7"/>
      <c r="D26" s="7"/>
      <c r="E26" s="7"/>
      <c r="F26" s="25" t="e">
        <f>VLOOKUP(G26,Sif_spol!$B$2:$C$3,2,FALSE)</f>
        <v>#N/A</v>
      </c>
      <c r="G26" s="7"/>
      <c r="H26" s="8"/>
      <c r="I26" s="25" t="e">
        <f>VLOOKUP(J26,Sif_drzave!$B$2:$C$252,2,FALSE)</f>
        <v>#N/A</v>
      </c>
      <c r="J26" s="7"/>
      <c r="K26" s="25" t="e">
        <f>VLOOKUP(L26,Sif_dokumenti!$B$2:$C$9,2,FALSE)</f>
        <v>#N/A</v>
      </c>
      <c r="L26" s="7"/>
      <c r="M26" s="7"/>
      <c r="N26" s="8"/>
      <c r="O26" s="8"/>
      <c r="P26" s="25" t="e">
        <f>VLOOKUP(Q26,Sif_taksa!$B$2:$C$21,2,FALSE)</f>
        <v>#N/A</v>
      </c>
      <c r="Q26" s="26"/>
      <c r="R26" s="26"/>
    </row>
    <row r="27" spans="1:18" x14ac:dyDescent="0.25">
      <c r="A27" s="25">
        <v>19</v>
      </c>
      <c r="B27" s="25" t="e">
        <f>VLOOKUP(C27,Sif_prostori!$B$2:$C$4,2,FALSE)</f>
        <v>#N/A</v>
      </c>
      <c r="C27" s="7"/>
      <c r="D27" s="7"/>
      <c r="E27" s="7"/>
      <c r="F27" s="25" t="e">
        <f>VLOOKUP(G27,Sif_spol!$B$2:$C$3,2,FALSE)</f>
        <v>#N/A</v>
      </c>
      <c r="G27" s="7"/>
      <c r="H27" s="8"/>
      <c r="I27" s="25" t="e">
        <f>VLOOKUP(J27,Sif_drzave!$B$2:$C$252,2,FALSE)</f>
        <v>#N/A</v>
      </c>
      <c r="J27" s="7"/>
      <c r="K27" s="25" t="e">
        <f>VLOOKUP(L27,Sif_dokumenti!$B$2:$C$9,2,FALSE)</f>
        <v>#N/A</v>
      </c>
      <c r="L27" s="7"/>
      <c r="M27" s="7"/>
      <c r="N27" s="8"/>
      <c r="O27" s="8"/>
      <c r="P27" s="25" t="e">
        <f>VLOOKUP(Q27,Sif_taksa!$B$2:$C$21,2,FALSE)</f>
        <v>#N/A</v>
      </c>
      <c r="Q27" s="26"/>
      <c r="R27" s="26"/>
    </row>
    <row r="28" spans="1:18" x14ac:dyDescent="0.25">
      <c r="A28" s="25">
        <v>20</v>
      </c>
      <c r="B28" s="25" t="e">
        <f>VLOOKUP(C28,Sif_prostori!$B$2:$C$4,2,FALSE)</f>
        <v>#N/A</v>
      </c>
      <c r="C28" s="7"/>
      <c r="D28" s="7"/>
      <c r="E28" s="7"/>
      <c r="F28" s="25" t="e">
        <f>VLOOKUP(G28,Sif_spol!$B$2:$C$3,2,FALSE)</f>
        <v>#N/A</v>
      </c>
      <c r="G28" s="7"/>
      <c r="H28" s="8"/>
      <c r="I28" s="25" t="e">
        <f>VLOOKUP(J28,Sif_drzave!$B$2:$C$252,2,FALSE)</f>
        <v>#N/A</v>
      </c>
      <c r="J28" s="7"/>
      <c r="K28" s="25" t="e">
        <f>VLOOKUP(L28,Sif_dokumenti!$B$2:$C$9,2,FALSE)</f>
        <v>#N/A</v>
      </c>
      <c r="L28" s="7"/>
      <c r="M28" s="7"/>
      <c r="N28" s="8"/>
      <c r="O28" s="8"/>
      <c r="P28" s="25" t="e">
        <f>VLOOKUP(Q28,Sif_taksa!$B$2:$C$21,2,FALSE)</f>
        <v>#N/A</v>
      </c>
      <c r="Q28" s="26"/>
      <c r="R28" s="26"/>
    </row>
    <row r="29" spans="1:18" x14ac:dyDescent="0.25">
      <c r="A29" s="25">
        <v>21</v>
      </c>
      <c r="B29" s="25" t="e">
        <f>VLOOKUP(C29,Sif_prostori!$B$2:$C$4,2,FALSE)</f>
        <v>#N/A</v>
      </c>
      <c r="C29" s="7"/>
      <c r="D29" s="7"/>
      <c r="E29" s="7"/>
      <c r="F29" s="25" t="e">
        <f>VLOOKUP(G29,Sif_spol!$B$2:$C$3,2,FALSE)</f>
        <v>#N/A</v>
      </c>
      <c r="G29" s="7"/>
      <c r="H29" s="8"/>
      <c r="I29" s="25" t="e">
        <f>VLOOKUP(J29,Sif_drzave!$B$2:$C$252,2,FALSE)</f>
        <v>#N/A</v>
      </c>
      <c r="J29" s="7"/>
      <c r="K29" s="25" t="e">
        <f>VLOOKUP(L29,Sif_dokumenti!$B$2:$C$9,2,FALSE)</f>
        <v>#N/A</v>
      </c>
      <c r="L29" s="7"/>
      <c r="M29" s="7"/>
      <c r="N29" s="8"/>
      <c r="O29" s="8"/>
      <c r="P29" s="25" t="e">
        <f>VLOOKUP(Q29,Sif_taksa!$B$2:$C$21,2,FALSE)</f>
        <v>#N/A</v>
      </c>
      <c r="Q29" s="26"/>
      <c r="R29" s="26"/>
    </row>
    <row r="30" spans="1:18" x14ac:dyDescent="0.25">
      <c r="A30" s="25">
        <v>22</v>
      </c>
      <c r="B30" s="25" t="e">
        <f>VLOOKUP(C30,Sif_prostori!$B$2:$C$4,2,FALSE)</f>
        <v>#N/A</v>
      </c>
      <c r="C30" s="7"/>
      <c r="D30" s="7"/>
      <c r="E30" s="7"/>
      <c r="F30" s="25" t="e">
        <f>VLOOKUP(G30,Sif_spol!$B$2:$C$3,2,FALSE)</f>
        <v>#N/A</v>
      </c>
      <c r="G30" s="7"/>
      <c r="H30" s="8"/>
      <c r="I30" s="25" t="e">
        <f>VLOOKUP(J30,Sif_drzave!$B$2:$C$252,2,FALSE)</f>
        <v>#N/A</v>
      </c>
      <c r="J30" s="7"/>
      <c r="K30" s="25" t="e">
        <f>VLOOKUP(L30,Sif_dokumenti!$B$2:$C$9,2,FALSE)</f>
        <v>#N/A</v>
      </c>
      <c r="L30" s="7"/>
      <c r="M30" s="7"/>
      <c r="N30" s="8"/>
      <c r="O30" s="8"/>
      <c r="P30" s="25" t="e">
        <f>VLOOKUP(Q30,Sif_taksa!$B$2:$C$21,2,FALSE)</f>
        <v>#N/A</v>
      </c>
      <c r="Q30" s="26"/>
      <c r="R30" s="26"/>
    </row>
    <row r="31" spans="1:18" x14ac:dyDescent="0.25">
      <c r="A31" s="25">
        <v>23</v>
      </c>
      <c r="B31" s="25" t="e">
        <f>VLOOKUP(C31,Sif_prostori!$B$2:$C$4,2,FALSE)</f>
        <v>#N/A</v>
      </c>
      <c r="C31" s="7"/>
      <c r="D31" s="7"/>
      <c r="E31" s="7"/>
      <c r="F31" s="25" t="e">
        <f>VLOOKUP(G31,Sif_spol!$B$2:$C$3,2,FALSE)</f>
        <v>#N/A</v>
      </c>
      <c r="G31" s="7"/>
      <c r="H31" s="8"/>
      <c r="I31" s="25" t="e">
        <f>VLOOKUP(J31,Sif_drzave!$B$2:$C$252,2,FALSE)</f>
        <v>#N/A</v>
      </c>
      <c r="J31" s="7"/>
      <c r="K31" s="25" t="e">
        <f>VLOOKUP(L31,Sif_dokumenti!$B$2:$C$9,2,FALSE)</f>
        <v>#N/A</v>
      </c>
      <c r="L31" s="7"/>
      <c r="M31" s="7"/>
      <c r="N31" s="8"/>
      <c r="O31" s="8"/>
      <c r="P31" s="25" t="e">
        <f>VLOOKUP(Q31,Sif_taksa!$B$2:$C$21,2,FALSE)</f>
        <v>#N/A</v>
      </c>
      <c r="Q31" s="26"/>
      <c r="R31" s="26"/>
    </row>
    <row r="32" spans="1:18" x14ac:dyDescent="0.25">
      <c r="A32" s="25">
        <v>24</v>
      </c>
      <c r="B32" s="25" t="e">
        <f>VLOOKUP(C32,Sif_prostori!$B$2:$C$4,2,FALSE)</f>
        <v>#N/A</v>
      </c>
      <c r="C32" s="7"/>
      <c r="D32" s="7"/>
      <c r="E32" s="7"/>
      <c r="F32" s="25" t="e">
        <f>VLOOKUP(G32,Sif_spol!$B$2:$C$3,2,FALSE)</f>
        <v>#N/A</v>
      </c>
      <c r="G32" s="7"/>
      <c r="H32" s="8"/>
      <c r="I32" s="25" t="e">
        <f>VLOOKUP(J32,Sif_drzave!$B$2:$C$252,2,FALSE)</f>
        <v>#N/A</v>
      </c>
      <c r="J32" s="7"/>
      <c r="K32" s="25" t="e">
        <f>VLOOKUP(L32,Sif_dokumenti!$B$2:$C$9,2,FALSE)</f>
        <v>#N/A</v>
      </c>
      <c r="L32" s="7"/>
      <c r="M32" s="7"/>
      <c r="N32" s="8"/>
      <c r="O32" s="8"/>
      <c r="P32" s="25" t="e">
        <f>VLOOKUP(Q32,Sif_taksa!$B$2:$C$21,2,FALSE)</f>
        <v>#N/A</v>
      </c>
      <c r="Q32" s="26"/>
      <c r="R32" s="26"/>
    </row>
    <row r="33" spans="1:18" x14ac:dyDescent="0.25">
      <c r="A33" s="25">
        <v>25</v>
      </c>
      <c r="B33" s="25" t="e">
        <f>VLOOKUP(C33,Sif_prostori!$B$2:$C$4,2,FALSE)</f>
        <v>#N/A</v>
      </c>
      <c r="C33" s="7"/>
      <c r="D33" s="7"/>
      <c r="E33" s="7"/>
      <c r="F33" s="25" t="e">
        <f>VLOOKUP(G33,Sif_spol!$B$2:$C$3,2,FALSE)</f>
        <v>#N/A</v>
      </c>
      <c r="G33" s="7"/>
      <c r="H33" s="8"/>
      <c r="I33" s="25" t="e">
        <f>VLOOKUP(J33,Sif_drzave!$B$2:$C$252,2,FALSE)</f>
        <v>#N/A</v>
      </c>
      <c r="J33" s="7"/>
      <c r="K33" s="25" t="e">
        <f>VLOOKUP(L33,Sif_dokumenti!$B$2:$C$9,2,FALSE)</f>
        <v>#N/A</v>
      </c>
      <c r="L33" s="7"/>
      <c r="M33" s="7"/>
      <c r="N33" s="8"/>
      <c r="O33" s="8"/>
      <c r="P33" s="25" t="e">
        <f>VLOOKUP(Q33,Sif_taksa!$B$2:$C$21,2,FALSE)</f>
        <v>#N/A</v>
      </c>
      <c r="Q33" s="26"/>
      <c r="R33" s="26"/>
    </row>
    <row r="34" spans="1:18" x14ac:dyDescent="0.25">
      <c r="A34" s="25">
        <v>26</v>
      </c>
      <c r="B34" s="25" t="e">
        <f>VLOOKUP(C34,Sif_prostori!$B$2:$C$4,2,FALSE)</f>
        <v>#N/A</v>
      </c>
      <c r="C34" s="7"/>
      <c r="D34" s="7"/>
      <c r="E34" s="7"/>
      <c r="F34" s="25" t="e">
        <f>VLOOKUP(G34,Sif_spol!$B$2:$C$3,2,FALSE)</f>
        <v>#N/A</v>
      </c>
      <c r="G34" s="7"/>
      <c r="H34" s="8"/>
      <c r="I34" s="25" t="e">
        <f>VLOOKUP(J34,Sif_drzave!$B$2:$C$252,2,FALSE)</f>
        <v>#N/A</v>
      </c>
      <c r="J34" s="7"/>
      <c r="K34" s="25" t="e">
        <f>VLOOKUP(L34,Sif_dokumenti!$B$2:$C$9,2,FALSE)</f>
        <v>#N/A</v>
      </c>
      <c r="L34" s="7"/>
      <c r="M34" s="7"/>
      <c r="N34" s="8"/>
      <c r="O34" s="8"/>
      <c r="P34" s="25" t="e">
        <f>VLOOKUP(Q34,Sif_taksa!$B$2:$C$21,2,FALSE)</f>
        <v>#N/A</v>
      </c>
      <c r="Q34" s="26"/>
      <c r="R34" s="26"/>
    </row>
    <row r="35" spans="1:18" x14ac:dyDescent="0.25">
      <c r="A35" s="25">
        <v>27</v>
      </c>
      <c r="B35" s="25" t="e">
        <f>VLOOKUP(C35,Sif_prostori!$B$2:$C$4,2,FALSE)</f>
        <v>#N/A</v>
      </c>
      <c r="C35" s="7"/>
      <c r="D35" s="7"/>
      <c r="E35" s="7"/>
      <c r="F35" s="25" t="e">
        <f>VLOOKUP(G35,Sif_spol!$B$2:$C$3,2,FALSE)</f>
        <v>#N/A</v>
      </c>
      <c r="G35" s="7"/>
      <c r="H35" s="8"/>
      <c r="I35" s="25" t="e">
        <f>VLOOKUP(J35,Sif_drzave!$B$2:$C$252,2,FALSE)</f>
        <v>#N/A</v>
      </c>
      <c r="J35" s="7"/>
      <c r="K35" s="25" t="e">
        <f>VLOOKUP(L35,Sif_dokumenti!$B$2:$C$9,2,FALSE)</f>
        <v>#N/A</v>
      </c>
      <c r="L35" s="7"/>
      <c r="M35" s="7"/>
      <c r="N35" s="8"/>
      <c r="O35" s="8"/>
      <c r="P35" s="25" t="e">
        <f>VLOOKUP(Q35,Sif_taksa!$B$2:$C$21,2,FALSE)</f>
        <v>#N/A</v>
      </c>
      <c r="Q35" s="26"/>
      <c r="R35" s="26"/>
    </row>
    <row r="36" spans="1:18" x14ac:dyDescent="0.25">
      <c r="A36" s="25">
        <v>28</v>
      </c>
      <c r="B36" s="25" t="e">
        <f>VLOOKUP(C36,Sif_prostori!$B$2:$C$4,2,FALSE)</f>
        <v>#N/A</v>
      </c>
      <c r="C36" s="7"/>
      <c r="D36" s="7"/>
      <c r="E36" s="7"/>
      <c r="F36" s="25" t="e">
        <f>VLOOKUP(G36,Sif_spol!$B$2:$C$3,2,FALSE)</f>
        <v>#N/A</v>
      </c>
      <c r="G36" s="7"/>
      <c r="H36" s="8"/>
      <c r="I36" s="25" t="e">
        <f>VLOOKUP(J36,Sif_drzave!$B$2:$C$252,2,FALSE)</f>
        <v>#N/A</v>
      </c>
      <c r="J36" s="7"/>
      <c r="K36" s="25" t="e">
        <f>VLOOKUP(L36,Sif_dokumenti!$B$2:$C$9,2,FALSE)</f>
        <v>#N/A</v>
      </c>
      <c r="L36" s="7"/>
      <c r="M36" s="7"/>
      <c r="N36" s="8"/>
      <c r="O36" s="8"/>
      <c r="P36" s="25" t="e">
        <f>VLOOKUP(Q36,Sif_taksa!$B$2:$C$21,2,FALSE)</f>
        <v>#N/A</v>
      </c>
      <c r="Q36" s="26"/>
      <c r="R36" s="26"/>
    </row>
    <row r="37" spans="1:18" x14ac:dyDescent="0.25">
      <c r="A37" s="25">
        <v>29</v>
      </c>
      <c r="B37" s="25" t="e">
        <f>VLOOKUP(C37,Sif_prostori!$B$2:$C$4,2,FALSE)</f>
        <v>#N/A</v>
      </c>
      <c r="C37" s="7"/>
      <c r="D37" s="7"/>
      <c r="E37" s="7"/>
      <c r="F37" s="25" t="e">
        <f>VLOOKUP(G37,Sif_spol!$B$2:$C$3,2,FALSE)</f>
        <v>#N/A</v>
      </c>
      <c r="G37" s="7"/>
      <c r="H37" s="8"/>
      <c r="I37" s="25" t="e">
        <f>VLOOKUP(J37,Sif_drzave!$B$2:$C$252,2,FALSE)</f>
        <v>#N/A</v>
      </c>
      <c r="J37" s="7"/>
      <c r="K37" s="25" t="e">
        <f>VLOOKUP(L37,Sif_dokumenti!$B$2:$C$9,2,FALSE)</f>
        <v>#N/A</v>
      </c>
      <c r="L37" s="7"/>
      <c r="M37" s="7"/>
      <c r="N37" s="8"/>
      <c r="O37" s="8"/>
      <c r="P37" s="25" t="e">
        <f>VLOOKUP(Q37,Sif_taksa!$B$2:$C$21,2,FALSE)</f>
        <v>#N/A</v>
      </c>
      <c r="Q37" s="26"/>
      <c r="R37" s="26"/>
    </row>
    <row r="38" spans="1:18" x14ac:dyDescent="0.25">
      <c r="A38" s="25">
        <v>30</v>
      </c>
      <c r="B38" s="25" t="e">
        <f>VLOOKUP(C38,Sif_prostori!$B$2:$C$4,2,FALSE)</f>
        <v>#N/A</v>
      </c>
      <c r="C38" s="7"/>
      <c r="D38" s="7"/>
      <c r="E38" s="7"/>
      <c r="F38" s="25" t="e">
        <f>VLOOKUP(G38,Sif_spol!$B$2:$C$3,2,FALSE)</f>
        <v>#N/A</v>
      </c>
      <c r="G38" s="7"/>
      <c r="H38" s="8"/>
      <c r="I38" s="25" t="e">
        <f>VLOOKUP(J38,Sif_drzave!$B$2:$C$252,2,FALSE)</f>
        <v>#N/A</v>
      </c>
      <c r="J38" s="7"/>
      <c r="K38" s="25" t="e">
        <f>VLOOKUP(L38,Sif_dokumenti!$B$2:$C$9,2,FALSE)</f>
        <v>#N/A</v>
      </c>
      <c r="L38" s="7"/>
      <c r="M38" s="7"/>
      <c r="N38" s="8"/>
      <c r="O38" s="8"/>
      <c r="P38" s="25" t="e">
        <f>VLOOKUP(Q38,Sif_taksa!$B$2:$C$21,2,FALSE)</f>
        <v>#N/A</v>
      </c>
      <c r="Q38" s="26"/>
      <c r="R38" s="26"/>
    </row>
    <row r="39" spans="1:18" x14ac:dyDescent="0.25">
      <c r="A39" s="25">
        <v>31</v>
      </c>
      <c r="B39" s="25" t="e">
        <f>VLOOKUP(C39,Sif_prostori!$B$2:$C$4,2,FALSE)</f>
        <v>#N/A</v>
      </c>
      <c r="C39" s="7"/>
      <c r="D39" s="7"/>
      <c r="E39" s="7"/>
      <c r="F39" s="25" t="e">
        <f>VLOOKUP(G39,Sif_spol!$B$2:$C$3,2,FALSE)</f>
        <v>#N/A</v>
      </c>
      <c r="G39" s="7"/>
      <c r="H39" s="8"/>
      <c r="I39" s="25" t="e">
        <f>VLOOKUP(J39,Sif_drzave!$B$2:$C$252,2,FALSE)</f>
        <v>#N/A</v>
      </c>
      <c r="J39" s="7"/>
      <c r="K39" s="25" t="e">
        <f>VLOOKUP(L39,Sif_dokumenti!$B$2:$C$9,2,FALSE)</f>
        <v>#N/A</v>
      </c>
      <c r="L39" s="7"/>
      <c r="M39" s="7"/>
      <c r="N39" s="8"/>
      <c r="O39" s="8"/>
      <c r="P39" s="25" t="e">
        <f>VLOOKUP(Q39,Sif_taksa!$B$2:$C$21,2,FALSE)</f>
        <v>#N/A</v>
      </c>
      <c r="Q39" s="26"/>
      <c r="R39" s="26"/>
    </row>
    <row r="40" spans="1:18" x14ac:dyDescent="0.25">
      <c r="A40" s="25">
        <v>32</v>
      </c>
      <c r="B40" s="25" t="e">
        <f>VLOOKUP(C40,Sif_prostori!$B$2:$C$4,2,FALSE)</f>
        <v>#N/A</v>
      </c>
      <c r="C40" s="7"/>
      <c r="D40" s="7"/>
      <c r="E40" s="7"/>
      <c r="F40" s="25" t="e">
        <f>VLOOKUP(G40,Sif_spol!$B$2:$C$3,2,FALSE)</f>
        <v>#N/A</v>
      </c>
      <c r="G40" s="7"/>
      <c r="H40" s="8"/>
      <c r="I40" s="25" t="e">
        <f>VLOOKUP(J40,Sif_drzave!$B$2:$C$252,2,FALSE)</f>
        <v>#N/A</v>
      </c>
      <c r="J40" s="7"/>
      <c r="K40" s="25" t="e">
        <f>VLOOKUP(L40,Sif_dokumenti!$B$2:$C$9,2,FALSE)</f>
        <v>#N/A</v>
      </c>
      <c r="L40" s="7"/>
      <c r="M40" s="7"/>
      <c r="N40" s="8"/>
      <c r="O40" s="8"/>
      <c r="P40" s="25" t="e">
        <f>VLOOKUP(Q40,Sif_taksa!$B$2:$C$21,2,FALSE)</f>
        <v>#N/A</v>
      </c>
      <c r="Q40" s="26"/>
      <c r="R40" s="26"/>
    </row>
    <row r="41" spans="1:18" x14ac:dyDescent="0.25">
      <c r="A41" s="25">
        <v>33</v>
      </c>
      <c r="B41" s="25" t="e">
        <f>VLOOKUP(C41,Sif_prostori!$B$2:$C$4,2,FALSE)</f>
        <v>#N/A</v>
      </c>
      <c r="C41" s="7"/>
      <c r="D41" s="7"/>
      <c r="E41" s="7"/>
      <c r="F41" s="25" t="e">
        <f>VLOOKUP(G41,Sif_spol!$B$2:$C$3,2,FALSE)</f>
        <v>#N/A</v>
      </c>
      <c r="G41" s="7"/>
      <c r="H41" s="8"/>
      <c r="I41" s="25" t="e">
        <f>VLOOKUP(J41,Sif_drzave!$B$2:$C$252,2,FALSE)</f>
        <v>#N/A</v>
      </c>
      <c r="J41" s="7"/>
      <c r="K41" s="25" t="e">
        <f>VLOOKUP(L41,Sif_dokumenti!$B$2:$C$9,2,FALSE)</f>
        <v>#N/A</v>
      </c>
      <c r="L41" s="7"/>
      <c r="M41" s="7"/>
      <c r="N41" s="8"/>
      <c r="O41" s="8"/>
      <c r="P41" s="25" t="e">
        <f>VLOOKUP(Q41,Sif_taksa!$B$2:$C$21,2,FALSE)</f>
        <v>#N/A</v>
      </c>
      <c r="Q41" s="26"/>
      <c r="R41" s="26"/>
    </row>
    <row r="42" spans="1:18" x14ac:dyDescent="0.25">
      <c r="A42" s="25">
        <v>34</v>
      </c>
      <c r="B42" s="25" t="e">
        <f>VLOOKUP(C42,Sif_prostori!$B$2:$C$4,2,FALSE)</f>
        <v>#N/A</v>
      </c>
      <c r="C42" s="7"/>
      <c r="D42" s="7"/>
      <c r="E42" s="7"/>
      <c r="F42" s="25" t="e">
        <f>VLOOKUP(G42,Sif_spol!$B$2:$C$3,2,FALSE)</f>
        <v>#N/A</v>
      </c>
      <c r="G42" s="7"/>
      <c r="H42" s="8"/>
      <c r="I42" s="25" t="e">
        <f>VLOOKUP(J42,Sif_drzave!$B$2:$C$252,2,FALSE)</f>
        <v>#N/A</v>
      </c>
      <c r="J42" s="7"/>
      <c r="K42" s="25" t="e">
        <f>VLOOKUP(L42,Sif_dokumenti!$B$2:$C$9,2,FALSE)</f>
        <v>#N/A</v>
      </c>
      <c r="L42" s="7"/>
      <c r="M42" s="7"/>
      <c r="N42" s="8"/>
      <c r="O42" s="8"/>
      <c r="P42" s="25" t="e">
        <f>VLOOKUP(Q42,Sif_taksa!$B$2:$C$21,2,FALSE)</f>
        <v>#N/A</v>
      </c>
      <c r="Q42" s="26"/>
      <c r="R42" s="26"/>
    </row>
    <row r="43" spans="1:18" x14ac:dyDescent="0.25">
      <c r="A43" s="25">
        <v>35</v>
      </c>
      <c r="B43" s="25" t="e">
        <f>VLOOKUP(C43,Sif_prostori!$B$2:$C$4,2,FALSE)</f>
        <v>#N/A</v>
      </c>
      <c r="C43" s="7"/>
      <c r="D43" s="7"/>
      <c r="E43" s="7"/>
      <c r="F43" s="25" t="e">
        <f>VLOOKUP(G43,Sif_spol!$B$2:$C$3,2,FALSE)</f>
        <v>#N/A</v>
      </c>
      <c r="G43" s="7"/>
      <c r="H43" s="8"/>
      <c r="I43" s="25" t="e">
        <f>VLOOKUP(J43,Sif_drzave!$B$2:$C$252,2,FALSE)</f>
        <v>#N/A</v>
      </c>
      <c r="J43" s="7"/>
      <c r="K43" s="25" t="e">
        <f>VLOOKUP(L43,Sif_dokumenti!$B$2:$C$9,2,FALSE)</f>
        <v>#N/A</v>
      </c>
      <c r="L43" s="7"/>
      <c r="M43" s="7"/>
      <c r="N43" s="8"/>
      <c r="O43" s="8"/>
      <c r="P43" s="25" t="e">
        <f>VLOOKUP(Q43,Sif_taksa!$B$2:$C$21,2,FALSE)</f>
        <v>#N/A</v>
      </c>
      <c r="Q43" s="26"/>
      <c r="R43" s="26"/>
    </row>
    <row r="44" spans="1:18" x14ac:dyDescent="0.25">
      <c r="A44" s="25">
        <v>36</v>
      </c>
      <c r="B44" s="25" t="e">
        <f>VLOOKUP(C44,Sif_prostori!$B$2:$C$4,2,FALSE)</f>
        <v>#N/A</v>
      </c>
      <c r="C44" s="7"/>
      <c r="D44" s="7"/>
      <c r="E44" s="7"/>
      <c r="F44" s="25" t="e">
        <f>VLOOKUP(G44,Sif_spol!$B$2:$C$3,2,FALSE)</f>
        <v>#N/A</v>
      </c>
      <c r="G44" s="7"/>
      <c r="H44" s="8"/>
      <c r="I44" s="25" t="e">
        <f>VLOOKUP(J44,Sif_drzave!$B$2:$C$252,2,FALSE)</f>
        <v>#N/A</v>
      </c>
      <c r="J44" s="7"/>
      <c r="K44" s="25" t="e">
        <f>VLOOKUP(L44,Sif_dokumenti!$B$2:$C$9,2,FALSE)</f>
        <v>#N/A</v>
      </c>
      <c r="L44" s="7"/>
      <c r="M44" s="7"/>
      <c r="N44" s="8"/>
      <c r="O44" s="8"/>
      <c r="P44" s="25" t="e">
        <f>VLOOKUP(Q44,Sif_taksa!$B$2:$C$21,2,FALSE)</f>
        <v>#N/A</v>
      </c>
      <c r="Q44" s="26"/>
      <c r="R44" s="26"/>
    </row>
    <row r="45" spans="1:18" x14ac:dyDescent="0.25">
      <c r="A45" s="25">
        <v>37</v>
      </c>
      <c r="B45" s="25" t="e">
        <f>VLOOKUP(C45,Sif_prostori!$B$2:$C$4,2,FALSE)</f>
        <v>#N/A</v>
      </c>
      <c r="C45" s="7"/>
      <c r="D45" s="7"/>
      <c r="E45" s="7"/>
      <c r="F45" s="25" t="e">
        <f>VLOOKUP(G45,Sif_spol!$B$2:$C$3,2,FALSE)</f>
        <v>#N/A</v>
      </c>
      <c r="G45" s="7"/>
      <c r="H45" s="8"/>
      <c r="I45" s="25" t="e">
        <f>VLOOKUP(J45,Sif_drzave!$B$2:$C$252,2,FALSE)</f>
        <v>#N/A</v>
      </c>
      <c r="J45" s="7"/>
      <c r="K45" s="25" t="e">
        <f>VLOOKUP(L45,Sif_dokumenti!$B$2:$C$9,2,FALSE)</f>
        <v>#N/A</v>
      </c>
      <c r="L45" s="7"/>
      <c r="M45" s="7"/>
      <c r="N45" s="8"/>
      <c r="O45" s="8"/>
      <c r="P45" s="25" t="e">
        <f>VLOOKUP(Q45,Sif_taksa!$B$2:$C$21,2,FALSE)</f>
        <v>#N/A</v>
      </c>
      <c r="Q45" s="26"/>
      <c r="R45" s="26"/>
    </row>
    <row r="46" spans="1:18" x14ac:dyDescent="0.25">
      <c r="A46" s="25">
        <v>38</v>
      </c>
      <c r="B46" s="25" t="e">
        <f>VLOOKUP(C46,Sif_prostori!$B$2:$C$4,2,FALSE)</f>
        <v>#N/A</v>
      </c>
      <c r="C46" s="7"/>
      <c r="D46" s="7"/>
      <c r="E46" s="7"/>
      <c r="F46" s="25" t="e">
        <f>VLOOKUP(G46,Sif_spol!$B$2:$C$3,2,FALSE)</f>
        <v>#N/A</v>
      </c>
      <c r="G46" s="7"/>
      <c r="H46" s="8"/>
      <c r="I46" s="25" t="e">
        <f>VLOOKUP(J46,Sif_drzave!$B$2:$C$252,2,FALSE)</f>
        <v>#N/A</v>
      </c>
      <c r="J46" s="7"/>
      <c r="K46" s="25" t="e">
        <f>VLOOKUP(L46,Sif_dokumenti!$B$2:$C$9,2,FALSE)</f>
        <v>#N/A</v>
      </c>
      <c r="L46" s="7"/>
      <c r="M46" s="7"/>
      <c r="N46" s="8"/>
      <c r="O46" s="8"/>
      <c r="P46" s="25" t="e">
        <f>VLOOKUP(Q46,Sif_taksa!$B$2:$C$21,2,FALSE)</f>
        <v>#N/A</v>
      </c>
      <c r="Q46" s="26"/>
      <c r="R46" s="26"/>
    </row>
    <row r="47" spans="1:18" x14ac:dyDescent="0.25">
      <c r="A47" s="25">
        <v>39</v>
      </c>
      <c r="B47" s="25" t="e">
        <f>VLOOKUP(C47,Sif_prostori!$B$2:$C$4,2,FALSE)</f>
        <v>#N/A</v>
      </c>
      <c r="C47" s="7"/>
      <c r="D47" s="7"/>
      <c r="E47" s="7"/>
      <c r="F47" s="25" t="e">
        <f>VLOOKUP(G47,Sif_spol!$B$2:$C$3,2,FALSE)</f>
        <v>#N/A</v>
      </c>
      <c r="G47" s="7"/>
      <c r="H47" s="8"/>
      <c r="I47" s="25" t="e">
        <f>VLOOKUP(J47,Sif_drzave!$B$2:$C$252,2,FALSE)</f>
        <v>#N/A</v>
      </c>
      <c r="J47" s="7"/>
      <c r="K47" s="25" t="e">
        <f>VLOOKUP(L47,Sif_dokumenti!$B$2:$C$9,2,FALSE)</f>
        <v>#N/A</v>
      </c>
      <c r="L47" s="7"/>
      <c r="M47" s="7"/>
      <c r="N47" s="8"/>
      <c r="O47" s="8"/>
      <c r="P47" s="25" t="e">
        <f>VLOOKUP(Q47,Sif_taksa!$B$2:$C$21,2,FALSE)</f>
        <v>#N/A</v>
      </c>
      <c r="Q47" s="26"/>
      <c r="R47" s="26"/>
    </row>
    <row r="48" spans="1:18" x14ac:dyDescent="0.25">
      <c r="A48" s="25">
        <v>40</v>
      </c>
      <c r="B48" s="25" t="e">
        <f>VLOOKUP(C48,Sif_prostori!$B$2:$C$4,2,FALSE)</f>
        <v>#N/A</v>
      </c>
      <c r="C48" s="7"/>
      <c r="D48" s="7"/>
      <c r="E48" s="7"/>
      <c r="F48" s="25" t="e">
        <f>VLOOKUP(G48,Sif_spol!$B$2:$C$3,2,FALSE)</f>
        <v>#N/A</v>
      </c>
      <c r="G48" s="7"/>
      <c r="H48" s="8"/>
      <c r="I48" s="25" t="e">
        <f>VLOOKUP(J48,Sif_drzave!$B$2:$C$252,2,FALSE)</f>
        <v>#N/A</v>
      </c>
      <c r="J48" s="7"/>
      <c r="K48" s="25" t="e">
        <f>VLOOKUP(L48,Sif_dokumenti!$B$2:$C$9,2,FALSE)</f>
        <v>#N/A</v>
      </c>
      <c r="L48" s="7"/>
      <c r="M48" s="7"/>
      <c r="N48" s="8"/>
      <c r="O48" s="8"/>
      <c r="P48" s="25" t="e">
        <f>VLOOKUP(Q48,Sif_taksa!$B$2:$C$21,2,FALSE)</f>
        <v>#N/A</v>
      </c>
      <c r="Q48" s="26"/>
      <c r="R48" s="26"/>
    </row>
    <row r="49" spans="1:18" x14ac:dyDescent="0.25">
      <c r="A49" s="25">
        <v>41</v>
      </c>
      <c r="B49" s="25" t="e">
        <f>VLOOKUP(C49,Sif_prostori!$B$2:$C$4,2,FALSE)</f>
        <v>#N/A</v>
      </c>
      <c r="C49" s="7"/>
      <c r="D49" s="7"/>
      <c r="E49" s="7"/>
      <c r="F49" s="25" t="e">
        <f>VLOOKUP(G49,Sif_spol!$B$2:$C$3,2,FALSE)</f>
        <v>#N/A</v>
      </c>
      <c r="G49" s="7"/>
      <c r="H49" s="8"/>
      <c r="I49" s="25" t="e">
        <f>VLOOKUP(J49,Sif_drzave!$B$2:$C$252,2,FALSE)</f>
        <v>#N/A</v>
      </c>
      <c r="J49" s="7"/>
      <c r="K49" s="25" t="e">
        <f>VLOOKUP(L49,Sif_dokumenti!$B$2:$C$9,2,FALSE)</f>
        <v>#N/A</v>
      </c>
      <c r="L49" s="7"/>
      <c r="M49" s="7"/>
      <c r="N49" s="8"/>
      <c r="O49" s="8"/>
      <c r="P49" s="25" t="e">
        <f>VLOOKUP(Q49,Sif_taksa!$B$2:$C$21,2,FALSE)</f>
        <v>#N/A</v>
      </c>
      <c r="Q49" s="26"/>
      <c r="R49" s="26"/>
    </row>
    <row r="50" spans="1:18" x14ac:dyDescent="0.25">
      <c r="A50" s="25">
        <v>42</v>
      </c>
      <c r="B50" s="25" t="e">
        <f>VLOOKUP(C50,Sif_prostori!$B$2:$C$4,2,FALSE)</f>
        <v>#N/A</v>
      </c>
      <c r="C50" s="7"/>
      <c r="D50" s="7"/>
      <c r="E50" s="7"/>
      <c r="F50" s="25" t="e">
        <f>VLOOKUP(G50,Sif_spol!$B$2:$C$3,2,FALSE)</f>
        <v>#N/A</v>
      </c>
      <c r="G50" s="7"/>
      <c r="H50" s="8"/>
      <c r="I50" s="25" t="e">
        <f>VLOOKUP(J50,Sif_drzave!$B$2:$C$252,2,FALSE)</f>
        <v>#N/A</v>
      </c>
      <c r="J50" s="7"/>
      <c r="K50" s="25" t="e">
        <f>VLOOKUP(L50,Sif_dokumenti!$B$2:$C$9,2,FALSE)</f>
        <v>#N/A</v>
      </c>
      <c r="L50" s="7"/>
      <c r="M50" s="7"/>
      <c r="N50" s="8"/>
      <c r="O50" s="8"/>
      <c r="P50" s="25" t="e">
        <f>VLOOKUP(Q50,Sif_taksa!$B$2:$C$21,2,FALSE)</f>
        <v>#N/A</v>
      </c>
      <c r="Q50" s="26"/>
      <c r="R50" s="26"/>
    </row>
    <row r="51" spans="1:18" x14ac:dyDescent="0.25">
      <c r="A51" s="25">
        <v>43</v>
      </c>
      <c r="B51" s="25" t="e">
        <f>VLOOKUP(C51,Sif_prostori!$B$2:$C$4,2,FALSE)</f>
        <v>#N/A</v>
      </c>
      <c r="C51" s="7"/>
      <c r="D51" s="7"/>
      <c r="E51" s="7"/>
      <c r="F51" s="25" t="e">
        <f>VLOOKUP(G51,Sif_spol!$B$2:$C$3,2,FALSE)</f>
        <v>#N/A</v>
      </c>
      <c r="G51" s="7"/>
      <c r="H51" s="8"/>
      <c r="I51" s="25" t="e">
        <f>VLOOKUP(J51,Sif_drzave!$B$2:$C$252,2,FALSE)</f>
        <v>#N/A</v>
      </c>
      <c r="J51" s="7"/>
      <c r="K51" s="25" t="e">
        <f>VLOOKUP(L51,Sif_dokumenti!$B$2:$C$9,2,FALSE)</f>
        <v>#N/A</v>
      </c>
      <c r="L51" s="7"/>
      <c r="M51" s="7"/>
      <c r="N51" s="8"/>
      <c r="O51" s="8"/>
      <c r="P51" s="25" t="e">
        <f>VLOOKUP(Q51,Sif_taksa!$B$2:$C$21,2,FALSE)</f>
        <v>#N/A</v>
      </c>
      <c r="Q51" s="26"/>
      <c r="R51" s="26"/>
    </row>
    <row r="52" spans="1:18" x14ac:dyDescent="0.25">
      <c r="A52" s="25">
        <v>44</v>
      </c>
      <c r="B52" s="25" t="e">
        <f>VLOOKUP(C52,Sif_prostori!$B$2:$C$4,2,FALSE)</f>
        <v>#N/A</v>
      </c>
      <c r="C52" s="7"/>
      <c r="D52" s="7"/>
      <c r="E52" s="7"/>
      <c r="F52" s="25" t="e">
        <f>VLOOKUP(G52,Sif_spol!$B$2:$C$3,2,FALSE)</f>
        <v>#N/A</v>
      </c>
      <c r="G52" s="7"/>
      <c r="H52" s="8"/>
      <c r="I52" s="25" t="e">
        <f>VLOOKUP(J52,Sif_drzave!$B$2:$C$252,2,FALSE)</f>
        <v>#N/A</v>
      </c>
      <c r="J52" s="7"/>
      <c r="K52" s="25" t="e">
        <f>VLOOKUP(L52,Sif_dokumenti!$B$2:$C$9,2,FALSE)</f>
        <v>#N/A</v>
      </c>
      <c r="L52" s="7"/>
      <c r="M52" s="7"/>
      <c r="N52" s="8"/>
      <c r="O52" s="8"/>
      <c r="P52" s="25" t="e">
        <f>VLOOKUP(Q52,Sif_taksa!$B$2:$C$21,2,FALSE)</f>
        <v>#N/A</v>
      </c>
      <c r="Q52" s="26"/>
      <c r="R52" s="26"/>
    </row>
    <row r="53" spans="1:18" x14ac:dyDescent="0.25">
      <c r="A53" s="25">
        <v>45</v>
      </c>
      <c r="B53" s="25" t="e">
        <f>VLOOKUP(C53,Sif_prostori!$B$2:$C$4,2,FALSE)</f>
        <v>#N/A</v>
      </c>
      <c r="C53" s="7"/>
      <c r="D53" s="7"/>
      <c r="E53" s="7"/>
      <c r="F53" s="25" t="e">
        <f>VLOOKUP(G53,Sif_spol!$B$2:$C$3,2,FALSE)</f>
        <v>#N/A</v>
      </c>
      <c r="G53" s="7"/>
      <c r="H53" s="8"/>
      <c r="I53" s="25" t="e">
        <f>VLOOKUP(J53,Sif_drzave!$B$2:$C$252,2,FALSE)</f>
        <v>#N/A</v>
      </c>
      <c r="J53" s="7"/>
      <c r="K53" s="25" t="e">
        <f>VLOOKUP(L53,Sif_dokumenti!$B$2:$C$9,2,FALSE)</f>
        <v>#N/A</v>
      </c>
      <c r="L53" s="7"/>
      <c r="M53" s="7"/>
      <c r="N53" s="8"/>
      <c r="O53" s="8"/>
      <c r="P53" s="25" t="e">
        <f>VLOOKUP(Q53,Sif_taksa!$B$2:$C$21,2,FALSE)</f>
        <v>#N/A</v>
      </c>
      <c r="Q53" s="26"/>
      <c r="R53" s="26"/>
    </row>
    <row r="54" spans="1:18" x14ac:dyDescent="0.25">
      <c r="A54" s="25">
        <v>46</v>
      </c>
      <c r="B54" s="25" t="e">
        <f>VLOOKUP(C54,Sif_prostori!$B$2:$C$4,2,FALSE)</f>
        <v>#N/A</v>
      </c>
      <c r="C54" s="7"/>
      <c r="D54" s="7"/>
      <c r="E54" s="7"/>
      <c r="F54" s="25" t="e">
        <f>VLOOKUP(G54,Sif_spol!$B$2:$C$3,2,FALSE)</f>
        <v>#N/A</v>
      </c>
      <c r="G54" s="7"/>
      <c r="H54" s="8"/>
      <c r="I54" s="25" t="e">
        <f>VLOOKUP(J54,Sif_drzave!$B$2:$C$252,2,FALSE)</f>
        <v>#N/A</v>
      </c>
      <c r="J54" s="7"/>
      <c r="K54" s="25" t="e">
        <f>VLOOKUP(L54,Sif_dokumenti!$B$2:$C$9,2,FALSE)</f>
        <v>#N/A</v>
      </c>
      <c r="L54" s="7"/>
      <c r="M54" s="7"/>
      <c r="N54" s="8"/>
      <c r="O54" s="8"/>
      <c r="P54" s="25" t="e">
        <f>VLOOKUP(Q54,Sif_taksa!$B$2:$C$21,2,FALSE)</f>
        <v>#N/A</v>
      </c>
      <c r="Q54" s="26"/>
      <c r="R54" s="26"/>
    </row>
    <row r="55" spans="1:18" x14ac:dyDescent="0.25">
      <c r="A55" s="25">
        <v>47</v>
      </c>
      <c r="B55" s="25" t="e">
        <f>VLOOKUP(C55,Sif_prostori!$B$2:$C$4,2,FALSE)</f>
        <v>#N/A</v>
      </c>
      <c r="C55" s="7"/>
      <c r="D55" s="7"/>
      <c r="E55" s="7"/>
      <c r="F55" s="25" t="e">
        <f>VLOOKUP(G55,Sif_spol!$B$2:$C$3,2,FALSE)</f>
        <v>#N/A</v>
      </c>
      <c r="G55" s="7"/>
      <c r="H55" s="8"/>
      <c r="I55" s="25" t="e">
        <f>VLOOKUP(J55,Sif_drzave!$B$2:$C$252,2,FALSE)</f>
        <v>#N/A</v>
      </c>
      <c r="J55" s="7"/>
      <c r="K55" s="25" t="e">
        <f>VLOOKUP(L55,Sif_dokumenti!$B$2:$C$9,2,FALSE)</f>
        <v>#N/A</v>
      </c>
      <c r="L55" s="7"/>
      <c r="M55" s="7"/>
      <c r="N55" s="8"/>
      <c r="O55" s="8"/>
      <c r="P55" s="25" t="e">
        <f>VLOOKUP(Q55,Sif_taksa!$B$2:$C$21,2,FALSE)</f>
        <v>#N/A</v>
      </c>
      <c r="Q55" s="26"/>
      <c r="R55" s="26"/>
    </row>
    <row r="56" spans="1:18" x14ac:dyDescent="0.25">
      <c r="A56" s="25">
        <v>48</v>
      </c>
      <c r="B56" s="25" t="e">
        <f>VLOOKUP(C56,Sif_prostori!$B$2:$C$4,2,FALSE)</f>
        <v>#N/A</v>
      </c>
      <c r="C56" s="7"/>
      <c r="D56" s="7"/>
      <c r="E56" s="7"/>
      <c r="F56" s="25" t="e">
        <f>VLOOKUP(G56,Sif_spol!$B$2:$C$3,2,FALSE)</f>
        <v>#N/A</v>
      </c>
      <c r="G56" s="7"/>
      <c r="H56" s="8"/>
      <c r="I56" s="25" t="e">
        <f>VLOOKUP(J56,Sif_drzave!$B$2:$C$252,2,FALSE)</f>
        <v>#N/A</v>
      </c>
      <c r="J56" s="7"/>
      <c r="K56" s="25" t="e">
        <f>VLOOKUP(L56,Sif_dokumenti!$B$2:$C$9,2,FALSE)</f>
        <v>#N/A</v>
      </c>
      <c r="L56" s="7"/>
      <c r="M56" s="7"/>
      <c r="N56" s="8"/>
      <c r="O56" s="8"/>
      <c r="P56" s="25" t="e">
        <f>VLOOKUP(Q56,Sif_taksa!$B$2:$C$21,2,FALSE)</f>
        <v>#N/A</v>
      </c>
      <c r="Q56" s="26"/>
      <c r="R56" s="26"/>
    </row>
    <row r="57" spans="1:18" x14ac:dyDescent="0.25">
      <c r="A57" s="25">
        <v>49</v>
      </c>
      <c r="B57" s="25" t="e">
        <f>VLOOKUP(C57,Sif_prostori!$B$2:$C$4,2,FALSE)</f>
        <v>#N/A</v>
      </c>
      <c r="C57" s="7"/>
      <c r="D57" s="7"/>
      <c r="E57" s="7"/>
      <c r="F57" s="25" t="e">
        <f>VLOOKUP(G57,Sif_spol!$B$2:$C$3,2,FALSE)</f>
        <v>#N/A</v>
      </c>
      <c r="G57" s="7"/>
      <c r="H57" s="8"/>
      <c r="I57" s="25" t="e">
        <f>VLOOKUP(J57,Sif_drzave!$B$2:$C$252,2,FALSE)</f>
        <v>#N/A</v>
      </c>
      <c r="J57" s="7"/>
      <c r="K57" s="25" t="e">
        <f>VLOOKUP(L57,Sif_dokumenti!$B$2:$C$9,2,FALSE)</f>
        <v>#N/A</v>
      </c>
      <c r="L57" s="7"/>
      <c r="M57" s="7"/>
      <c r="N57" s="8"/>
      <c r="O57" s="8"/>
      <c r="P57" s="25" t="e">
        <f>VLOOKUP(Q57,Sif_taksa!$B$2:$C$21,2,FALSE)</f>
        <v>#N/A</v>
      </c>
      <c r="Q57" s="26"/>
      <c r="R57" s="26"/>
    </row>
    <row r="58" spans="1:18" x14ac:dyDescent="0.25">
      <c r="A58" s="25">
        <v>50</v>
      </c>
      <c r="B58" s="25" t="e">
        <f>VLOOKUP(C58,Sif_prostori!$B$2:$C$4,2,FALSE)</f>
        <v>#N/A</v>
      </c>
      <c r="C58" s="7"/>
      <c r="D58" s="7"/>
      <c r="E58" s="7"/>
      <c r="F58" s="25" t="e">
        <f>VLOOKUP(G58,Sif_spol!$B$2:$C$3,2,FALSE)</f>
        <v>#N/A</v>
      </c>
      <c r="G58" s="7"/>
      <c r="H58" s="8"/>
      <c r="I58" s="25" t="e">
        <f>VLOOKUP(J58,Sif_drzave!$B$2:$C$252,2,FALSE)</f>
        <v>#N/A</v>
      </c>
      <c r="J58" s="7"/>
      <c r="K58" s="25" t="e">
        <f>VLOOKUP(L58,Sif_dokumenti!$B$2:$C$9,2,FALSE)</f>
        <v>#N/A</v>
      </c>
      <c r="L58" s="7"/>
      <c r="M58" s="7"/>
      <c r="N58" s="8"/>
      <c r="O58" s="8"/>
      <c r="P58" s="25" t="e">
        <f>VLOOKUP(Q58,Sif_taksa!$B$2:$C$21,2,FALSE)</f>
        <v>#N/A</v>
      </c>
      <c r="Q58" s="26"/>
      <c r="R58" s="26"/>
    </row>
    <row r="59" spans="1:18" x14ac:dyDescent="0.25">
      <c r="A59" s="25">
        <v>51</v>
      </c>
      <c r="B59" s="25" t="e">
        <f>VLOOKUP(C59,Sif_prostori!$B$2:$C$4,2,FALSE)</f>
        <v>#N/A</v>
      </c>
      <c r="C59" s="7"/>
      <c r="D59" s="7"/>
      <c r="E59" s="7"/>
      <c r="F59" s="25" t="e">
        <f>VLOOKUP(G59,Sif_spol!$B$2:$C$3,2,FALSE)</f>
        <v>#N/A</v>
      </c>
      <c r="G59" s="7"/>
      <c r="H59" s="8"/>
      <c r="I59" s="25" t="e">
        <f>VLOOKUP(J59,Sif_drzave!$B$2:$C$252,2,FALSE)</f>
        <v>#N/A</v>
      </c>
      <c r="J59" s="7"/>
      <c r="K59" s="25" t="e">
        <f>VLOOKUP(L59,Sif_dokumenti!$B$2:$C$9,2,FALSE)</f>
        <v>#N/A</v>
      </c>
      <c r="L59" s="7"/>
      <c r="M59" s="7"/>
      <c r="N59" s="8"/>
      <c r="O59" s="8"/>
      <c r="P59" s="25" t="e">
        <f>VLOOKUP(Q59,Sif_taksa!$B$2:$C$21,2,FALSE)</f>
        <v>#N/A</v>
      </c>
      <c r="Q59" s="26"/>
      <c r="R59" s="26"/>
    </row>
    <row r="60" spans="1:18" x14ac:dyDescent="0.25">
      <c r="A60" s="25">
        <v>52</v>
      </c>
      <c r="B60" s="25" t="e">
        <f>VLOOKUP(C60,Sif_prostori!$B$2:$C$4,2,FALSE)</f>
        <v>#N/A</v>
      </c>
      <c r="C60" s="7"/>
      <c r="D60" s="7"/>
      <c r="E60" s="7"/>
      <c r="F60" s="25" t="e">
        <f>VLOOKUP(G60,Sif_spol!$B$2:$C$3,2,FALSE)</f>
        <v>#N/A</v>
      </c>
      <c r="G60" s="7"/>
      <c r="H60" s="8"/>
      <c r="I60" s="25" t="e">
        <f>VLOOKUP(J60,Sif_drzave!$B$2:$C$252,2,FALSE)</f>
        <v>#N/A</v>
      </c>
      <c r="J60" s="7"/>
      <c r="K60" s="25" t="e">
        <f>VLOOKUP(L60,Sif_dokumenti!$B$2:$C$9,2,FALSE)</f>
        <v>#N/A</v>
      </c>
      <c r="L60" s="7"/>
      <c r="M60" s="7"/>
      <c r="N60" s="8"/>
      <c r="O60" s="8"/>
      <c r="P60" s="25" t="e">
        <f>VLOOKUP(Q60,Sif_taksa!$B$2:$C$21,2,FALSE)</f>
        <v>#N/A</v>
      </c>
      <c r="Q60" s="26"/>
      <c r="R60" s="26"/>
    </row>
    <row r="61" spans="1:18" x14ac:dyDescent="0.25">
      <c r="A61" s="25">
        <v>53</v>
      </c>
      <c r="B61" s="25" t="e">
        <f>VLOOKUP(C61,Sif_prostori!$B$2:$C$4,2,FALSE)</f>
        <v>#N/A</v>
      </c>
      <c r="C61" s="7"/>
      <c r="D61" s="7"/>
      <c r="E61" s="7"/>
      <c r="F61" s="25" t="e">
        <f>VLOOKUP(G61,Sif_spol!$B$2:$C$3,2,FALSE)</f>
        <v>#N/A</v>
      </c>
      <c r="G61" s="7"/>
      <c r="H61" s="8"/>
      <c r="I61" s="25" t="e">
        <f>VLOOKUP(J61,Sif_drzave!$B$2:$C$252,2,FALSE)</f>
        <v>#N/A</v>
      </c>
      <c r="J61" s="7"/>
      <c r="K61" s="25" t="e">
        <f>VLOOKUP(L61,Sif_dokumenti!$B$2:$C$9,2,FALSE)</f>
        <v>#N/A</v>
      </c>
      <c r="L61" s="7"/>
      <c r="M61" s="7"/>
      <c r="N61" s="8"/>
      <c r="O61" s="8"/>
      <c r="P61" s="25" t="e">
        <f>VLOOKUP(Q61,Sif_taksa!$B$2:$C$21,2,FALSE)</f>
        <v>#N/A</v>
      </c>
      <c r="Q61" s="26"/>
      <c r="R61" s="26"/>
    </row>
    <row r="62" spans="1:18" x14ac:dyDescent="0.25">
      <c r="A62" s="25">
        <v>54</v>
      </c>
      <c r="B62" s="25" t="e">
        <f>VLOOKUP(C62,Sif_prostori!$B$2:$C$4,2,FALSE)</f>
        <v>#N/A</v>
      </c>
      <c r="C62" s="7"/>
      <c r="D62" s="7"/>
      <c r="E62" s="7"/>
      <c r="F62" s="25" t="e">
        <f>VLOOKUP(G62,Sif_spol!$B$2:$C$3,2,FALSE)</f>
        <v>#N/A</v>
      </c>
      <c r="G62" s="7"/>
      <c r="H62" s="8"/>
      <c r="I62" s="25" t="e">
        <f>VLOOKUP(J62,Sif_drzave!$B$2:$C$252,2,FALSE)</f>
        <v>#N/A</v>
      </c>
      <c r="J62" s="7"/>
      <c r="K62" s="25" t="e">
        <f>VLOOKUP(L62,Sif_dokumenti!$B$2:$C$9,2,FALSE)</f>
        <v>#N/A</v>
      </c>
      <c r="L62" s="7"/>
      <c r="M62" s="7"/>
      <c r="N62" s="8"/>
      <c r="O62" s="8"/>
      <c r="P62" s="25" t="e">
        <f>VLOOKUP(Q62,Sif_taksa!$B$2:$C$21,2,FALSE)</f>
        <v>#N/A</v>
      </c>
      <c r="Q62" s="26"/>
      <c r="R62" s="26"/>
    </row>
    <row r="63" spans="1:18" x14ac:dyDescent="0.25">
      <c r="A63" s="25">
        <v>55</v>
      </c>
      <c r="B63" s="25" t="e">
        <f>VLOOKUP(C63,Sif_prostori!$B$2:$C$4,2,FALSE)</f>
        <v>#N/A</v>
      </c>
      <c r="C63" s="7"/>
      <c r="D63" s="7"/>
      <c r="E63" s="7"/>
      <c r="F63" s="25" t="e">
        <f>VLOOKUP(G63,Sif_spol!$B$2:$C$3,2,FALSE)</f>
        <v>#N/A</v>
      </c>
      <c r="G63" s="7"/>
      <c r="H63" s="8"/>
      <c r="I63" s="25" t="e">
        <f>VLOOKUP(J63,Sif_drzave!$B$2:$C$252,2,FALSE)</f>
        <v>#N/A</v>
      </c>
      <c r="J63" s="7"/>
      <c r="K63" s="25" t="e">
        <f>VLOOKUP(L63,Sif_dokumenti!$B$2:$C$9,2,FALSE)</f>
        <v>#N/A</v>
      </c>
      <c r="L63" s="7"/>
      <c r="M63" s="7"/>
      <c r="N63" s="8"/>
      <c r="O63" s="8"/>
      <c r="P63" s="25" t="e">
        <f>VLOOKUP(Q63,Sif_taksa!$B$2:$C$21,2,FALSE)</f>
        <v>#N/A</v>
      </c>
      <c r="Q63" s="26"/>
      <c r="R63" s="26"/>
    </row>
    <row r="64" spans="1:18" x14ac:dyDescent="0.25">
      <c r="A64" s="25">
        <v>56</v>
      </c>
      <c r="B64" s="25" t="e">
        <f>VLOOKUP(C64,Sif_prostori!$B$2:$C$4,2,FALSE)</f>
        <v>#N/A</v>
      </c>
      <c r="C64" s="7"/>
      <c r="D64" s="7"/>
      <c r="E64" s="7"/>
      <c r="F64" s="25" t="e">
        <f>VLOOKUP(G64,Sif_spol!$B$2:$C$3,2,FALSE)</f>
        <v>#N/A</v>
      </c>
      <c r="G64" s="7"/>
      <c r="H64" s="8"/>
      <c r="I64" s="25" t="e">
        <f>VLOOKUP(J64,Sif_drzave!$B$2:$C$252,2,FALSE)</f>
        <v>#N/A</v>
      </c>
      <c r="J64" s="7"/>
      <c r="K64" s="25" t="e">
        <f>VLOOKUP(L64,Sif_dokumenti!$B$2:$C$9,2,FALSE)</f>
        <v>#N/A</v>
      </c>
      <c r="L64" s="7"/>
      <c r="M64" s="7"/>
      <c r="N64" s="8"/>
      <c r="O64" s="8"/>
      <c r="P64" s="25" t="e">
        <f>VLOOKUP(Q64,Sif_taksa!$B$2:$C$21,2,FALSE)</f>
        <v>#N/A</v>
      </c>
      <c r="Q64" s="26"/>
      <c r="R64" s="26"/>
    </row>
    <row r="65" spans="1:18" x14ac:dyDescent="0.25">
      <c r="A65" s="25">
        <v>57</v>
      </c>
      <c r="B65" s="25" t="e">
        <f>VLOOKUP(C65,Sif_prostori!$B$2:$C$4,2,FALSE)</f>
        <v>#N/A</v>
      </c>
      <c r="C65" s="7"/>
      <c r="D65" s="7"/>
      <c r="E65" s="7"/>
      <c r="F65" s="25" t="e">
        <f>VLOOKUP(G65,Sif_spol!$B$2:$C$3,2,FALSE)</f>
        <v>#N/A</v>
      </c>
      <c r="G65" s="7"/>
      <c r="H65" s="8"/>
      <c r="I65" s="25" t="e">
        <f>VLOOKUP(J65,Sif_drzave!$B$2:$C$252,2,FALSE)</f>
        <v>#N/A</v>
      </c>
      <c r="J65" s="7"/>
      <c r="K65" s="25" t="e">
        <f>VLOOKUP(L65,Sif_dokumenti!$B$2:$C$9,2,FALSE)</f>
        <v>#N/A</v>
      </c>
      <c r="L65" s="7"/>
      <c r="M65" s="7"/>
      <c r="N65" s="8"/>
      <c r="O65" s="8"/>
      <c r="P65" s="25" t="e">
        <f>VLOOKUP(Q65,Sif_taksa!$B$2:$C$21,2,FALSE)</f>
        <v>#N/A</v>
      </c>
      <c r="Q65" s="26"/>
      <c r="R65" s="26"/>
    </row>
    <row r="66" spans="1:18" x14ac:dyDescent="0.25">
      <c r="A66" s="25">
        <v>58</v>
      </c>
      <c r="B66" s="25" t="e">
        <f>VLOOKUP(C66,Sif_prostori!$B$2:$C$4,2,FALSE)</f>
        <v>#N/A</v>
      </c>
      <c r="C66" s="7"/>
      <c r="D66" s="7"/>
      <c r="E66" s="7"/>
      <c r="F66" s="25" t="e">
        <f>VLOOKUP(G66,Sif_spol!$B$2:$C$3,2,FALSE)</f>
        <v>#N/A</v>
      </c>
      <c r="G66" s="7"/>
      <c r="H66" s="8"/>
      <c r="I66" s="25" t="e">
        <f>VLOOKUP(J66,Sif_drzave!$B$2:$C$252,2,FALSE)</f>
        <v>#N/A</v>
      </c>
      <c r="J66" s="7"/>
      <c r="K66" s="25" t="e">
        <f>VLOOKUP(L66,Sif_dokumenti!$B$2:$C$9,2,FALSE)</f>
        <v>#N/A</v>
      </c>
      <c r="L66" s="7"/>
      <c r="M66" s="7"/>
      <c r="N66" s="8"/>
      <c r="O66" s="8"/>
      <c r="P66" s="25" t="e">
        <f>VLOOKUP(Q66,Sif_taksa!$B$2:$C$21,2,FALSE)</f>
        <v>#N/A</v>
      </c>
      <c r="Q66" s="26"/>
      <c r="R66" s="26"/>
    </row>
    <row r="67" spans="1:18" x14ac:dyDescent="0.25">
      <c r="A67" s="25">
        <v>59</v>
      </c>
      <c r="B67" s="25" t="e">
        <f>VLOOKUP(C67,Sif_prostori!$B$2:$C$4,2,FALSE)</f>
        <v>#N/A</v>
      </c>
      <c r="C67" s="7"/>
      <c r="D67" s="7"/>
      <c r="E67" s="7"/>
      <c r="F67" s="25" t="e">
        <f>VLOOKUP(G67,Sif_spol!$B$2:$C$3,2,FALSE)</f>
        <v>#N/A</v>
      </c>
      <c r="G67" s="7"/>
      <c r="H67" s="8"/>
      <c r="I67" s="25" t="e">
        <f>VLOOKUP(J67,Sif_drzave!$B$2:$C$252,2,FALSE)</f>
        <v>#N/A</v>
      </c>
      <c r="J67" s="7"/>
      <c r="K67" s="25" t="e">
        <f>VLOOKUP(L67,Sif_dokumenti!$B$2:$C$9,2,FALSE)</f>
        <v>#N/A</v>
      </c>
      <c r="L67" s="7"/>
      <c r="M67" s="7"/>
      <c r="N67" s="8"/>
      <c r="O67" s="8"/>
      <c r="P67" s="25" t="e">
        <f>VLOOKUP(Q67,Sif_taksa!$B$2:$C$21,2,FALSE)</f>
        <v>#N/A</v>
      </c>
      <c r="Q67" s="26"/>
      <c r="R67" s="26"/>
    </row>
    <row r="68" spans="1:18" x14ac:dyDescent="0.25">
      <c r="A68" s="25">
        <v>60</v>
      </c>
      <c r="B68" s="25" t="e">
        <f>VLOOKUP(C68,Sif_prostori!$B$2:$C$4,2,FALSE)</f>
        <v>#N/A</v>
      </c>
      <c r="C68" s="7"/>
      <c r="D68" s="7"/>
      <c r="E68" s="7"/>
      <c r="F68" s="25" t="e">
        <f>VLOOKUP(G68,Sif_spol!$B$2:$C$3,2,FALSE)</f>
        <v>#N/A</v>
      </c>
      <c r="G68" s="7"/>
      <c r="H68" s="8"/>
      <c r="I68" s="25" t="e">
        <f>VLOOKUP(J68,Sif_drzave!$B$2:$C$252,2,FALSE)</f>
        <v>#N/A</v>
      </c>
      <c r="J68" s="7"/>
      <c r="K68" s="25" t="e">
        <f>VLOOKUP(L68,Sif_dokumenti!$B$2:$C$9,2,FALSE)</f>
        <v>#N/A</v>
      </c>
      <c r="L68" s="7"/>
      <c r="M68" s="7"/>
      <c r="N68" s="8"/>
      <c r="O68" s="8"/>
      <c r="P68" s="25" t="e">
        <f>VLOOKUP(Q68,Sif_taksa!$B$2:$C$21,2,FALSE)</f>
        <v>#N/A</v>
      </c>
      <c r="Q68" s="26"/>
      <c r="R68" s="26"/>
    </row>
    <row r="69" spans="1:18" x14ac:dyDescent="0.25">
      <c r="A69" s="25">
        <v>61</v>
      </c>
      <c r="B69" s="25" t="e">
        <f>VLOOKUP(C69,Sif_prostori!$B$2:$C$4,2,FALSE)</f>
        <v>#N/A</v>
      </c>
      <c r="C69" s="7"/>
      <c r="D69" s="7"/>
      <c r="E69" s="7"/>
      <c r="F69" s="25" t="e">
        <f>VLOOKUP(G69,Sif_spol!$B$2:$C$3,2,FALSE)</f>
        <v>#N/A</v>
      </c>
      <c r="G69" s="7"/>
      <c r="H69" s="8"/>
      <c r="I69" s="25" t="e">
        <f>VLOOKUP(J69,Sif_drzave!$B$2:$C$252,2,FALSE)</f>
        <v>#N/A</v>
      </c>
      <c r="J69" s="7"/>
      <c r="K69" s="25" t="e">
        <f>VLOOKUP(L69,Sif_dokumenti!$B$2:$C$9,2,FALSE)</f>
        <v>#N/A</v>
      </c>
      <c r="L69" s="7"/>
      <c r="M69" s="7"/>
      <c r="N69" s="8"/>
      <c r="O69" s="8"/>
      <c r="P69" s="25" t="e">
        <f>VLOOKUP(Q69,Sif_taksa!$B$2:$C$21,2,FALSE)</f>
        <v>#N/A</v>
      </c>
      <c r="Q69" s="26"/>
      <c r="R69" s="26"/>
    </row>
    <row r="70" spans="1:18" x14ac:dyDescent="0.25">
      <c r="A70" s="25">
        <v>62</v>
      </c>
      <c r="B70" s="25" t="e">
        <f>VLOOKUP(C70,Sif_prostori!$B$2:$C$4,2,FALSE)</f>
        <v>#N/A</v>
      </c>
      <c r="C70" s="7"/>
      <c r="D70" s="7"/>
      <c r="E70" s="7"/>
      <c r="F70" s="25" t="e">
        <f>VLOOKUP(G70,Sif_spol!$B$2:$C$3,2,FALSE)</f>
        <v>#N/A</v>
      </c>
      <c r="G70" s="7"/>
      <c r="H70" s="8"/>
      <c r="I70" s="25" t="e">
        <f>VLOOKUP(J70,Sif_drzave!$B$2:$C$252,2,FALSE)</f>
        <v>#N/A</v>
      </c>
      <c r="J70" s="7"/>
      <c r="K70" s="25" t="e">
        <f>VLOOKUP(L70,Sif_dokumenti!$B$2:$C$9,2,FALSE)</f>
        <v>#N/A</v>
      </c>
      <c r="L70" s="7"/>
      <c r="M70" s="7"/>
      <c r="N70" s="8"/>
      <c r="O70" s="8"/>
      <c r="P70" s="25" t="e">
        <f>VLOOKUP(Q70,Sif_taksa!$B$2:$C$21,2,FALSE)</f>
        <v>#N/A</v>
      </c>
      <c r="Q70" s="26"/>
      <c r="R70" s="26"/>
    </row>
    <row r="71" spans="1:18" x14ac:dyDescent="0.25">
      <c r="A71" s="25">
        <v>63</v>
      </c>
      <c r="B71" s="25" t="e">
        <f>VLOOKUP(C71,Sif_prostori!$B$2:$C$4,2,FALSE)</f>
        <v>#N/A</v>
      </c>
      <c r="C71" s="7"/>
      <c r="D71" s="7"/>
      <c r="E71" s="7"/>
      <c r="F71" s="25" t="e">
        <f>VLOOKUP(G71,Sif_spol!$B$2:$C$3,2,FALSE)</f>
        <v>#N/A</v>
      </c>
      <c r="G71" s="7"/>
      <c r="H71" s="8"/>
      <c r="I71" s="25" t="e">
        <f>VLOOKUP(J71,Sif_drzave!$B$2:$C$252,2,FALSE)</f>
        <v>#N/A</v>
      </c>
      <c r="J71" s="7"/>
      <c r="K71" s="25" t="e">
        <f>VLOOKUP(L71,Sif_dokumenti!$B$2:$C$9,2,FALSE)</f>
        <v>#N/A</v>
      </c>
      <c r="L71" s="7"/>
      <c r="M71" s="7"/>
      <c r="N71" s="8"/>
      <c r="O71" s="8"/>
      <c r="P71" s="25" t="e">
        <f>VLOOKUP(Q71,Sif_taksa!$B$2:$C$21,2,FALSE)</f>
        <v>#N/A</v>
      </c>
      <c r="Q71" s="26"/>
      <c r="R71" s="26"/>
    </row>
    <row r="72" spans="1:18" x14ac:dyDescent="0.25">
      <c r="A72" s="25">
        <v>64</v>
      </c>
      <c r="B72" s="25" t="e">
        <f>VLOOKUP(C72,Sif_prostori!$B$2:$C$4,2,FALSE)</f>
        <v>#N/A</v>
      </c>
      <c r="C72" s="7"/>
      <c r="D72" s="7"/>
      <c r="E72" s="7"/>
      <c r="F72" s="25" t="e">
        <f>VLOOKUP(G72,Sif_spol!$B$2:$C$3,2,FALSE)</f>
        <v>#N/A</v>
      </c>
      <c r="G72" s="7"/>
      <c r="H72" s="8"/>
      <c r="I72" s="25" t="e">
        <f>VLOOKUP(J72,Sif_drzave!$B$2:$C$252,2,FALSE)</f>
        <v>#N/A</v>
      </c>
      <c r="J72" s="7"/>
      <c r="K72" s="25" t="e">
        <f>VLOOKUP(L72,Sif_dokumenti!$B$2:$C$9,2,FALSE)</f>
        <v>#N/A</v>
      </c>
      <c r="L72" s="7"/>
      <c r="M72" s="7"/>
      <c r="N72" s="8"/>
      <c r="O72" s="8"/>
      <c r="P72" s="25" t="e">
        <f>VLOOKUP(Q72,Sif_taksa!$B$2:$C$21,2,FALSE)</f>
        <v>#N/A</v>
      </c>
      <c r="Q72" s="26"/>
      <c r="R72" s="26"/>
    </row>
    <row r="73" spans="1:18" x14ac:dyDescent="0.25">
      <c r="A73" s="25">
        <v>65</v>
      </c>
      <c r="B73" s="25" t="e">
        <f>VLOOKUP(C73,Sif_prostori!$B$2:$C$4,2,FALSE)</f>
        <v>#N/A</v>
      </c>
      <c r="C73" s="7"/>
      <c r="D73" s="7"/>
      <c r="E73" s="7"/>
      <c r="F73" s="25" t="e">
        <f>VLOOKUP(G73,Sif_spol!$B$2:$C$3,2,FALSE)</f>
        <v>#N/A</v>
      </c>
      <c r="G73" s="7"/>
      <c r="H73" s="8"/>
      <c r="I73" s="25" t="e">
        <f>VLOOKUP(J73,Sif_drzave!$B$2:$C$252,2,FALSE)</f>
        <v>#N/A</v>
      </c>
      <c r="J73" s="7"/>
      <c r="K73" s="25" t="e">
        <f>VLOOKUP(L73,Sif_dokumenti!$B$2:$C$9,2,FALSE)</f>
        <v>#N/A</v>
      </c>
      <c r="L73" s="7"/>
      <c r="M73" s="7"/>
      <c r="N73" s="8"/>
      <c r="O73" s="8"/>
      <c r="P73" s="25" t="e">
        <f>VLOOKUP(Q73,Sif_taksa!$B$2:$C$21,2,FALSE)</f>
        <v>#N/A</v>
      </c>
      <c r="Q73" s="26"/>
      <c r="R73" s="26"/>
    </row>
    <row r="74" spans="1:18" x14ac:dyDescent="0.25">
      <c r="A74" s="25">
        <v>66</v>
      </c>
      <c r="B74" s="25" t="e">
        <f>VLOOKUP(C74,Sif_prostori!$B$2:$C$4,2,FALSE)</f>
        <v>#N/A</v>
      </c>
      <c r="C74" s="7"/>
      <c r="D74" s="7"/>
      <c r="E74" s="7"/>
      <c r="F74" s="25" t="e">
        <f>VLOOKUP(G74,Sif_spol!$B$2:$C$3,2,FALSE)</f>
        <v>#N/A</v>
      </c>
      <c r="G74" s="7"/>
      <c r="H74" s="8"/>
      <c r="I74" s="25" t="e">
        <f>VLOOKUP(J74,Sif_drzave!$B$2:$C$252,2,FALSE)</f>
        <v>#N/A</v>
      </c>
      <c r="J74" s="7"/>
      <c r="K74" s="25" t="e">
        <f>VLOOKUP(L74,Sif_dokumenti!$B$2:$C$9,2,FALSE)</f>
        <v>#N/A</v>
      </c>
      <c r="L74" s="7"/>
      <c r="M74" s="7"/>
      <c r="N74" s="8"/>
      <c r="O74" s="8"/>
      <c r="P74" s="25" t="e">
        <f>VLOOKUP(Q74,Sif_taksa!$B$2:$C$21,2,FALSE)</f>
        <v>#N/A</v>
      </c>
      <c r="Q74" s="26"/>
      <c r="R74" s="26"/>
    </row>
    <row r="75" spans="1:18" x14ac:dyDescent="0.25">
      <c r="A75" s="25">
        <v>67</v>
      </c>
      <c r="B75" s="25" t="e">
        <f>VLOOKUP(C75,Sif_prostori!$B$2:$C$4,2,FALSE)</f>
        <v>#N/A</v>
      </c>
      <c r="C75" s="7"/>
      <c r="D75" s="7"/>
      <c r="E75" s="7"/>
      <c r="F75" s="25" t="e">
        <f>VLOOKUP(G75,Sif_spol!$B$2:$C$3,2,FALSE)</f>
        <v>#N/A</v>
      </c>
      <c r="G75" s="7"/>
      <c r="H75" s="8"/>
      <c r="I75" s="25" t="e">
        <f>VLOOKUP(J75,Sif_drzave!$B$2:$C$252,2,FALSE)</f>
        <v>#N/A</v>
      </c>
      <c r="J75" s="7"/>
      <c r="K75" s="25" t="e">
        <f>VLOOKUP(L75,Sif_dokumenti!$B$2:$C$9,2,FALSE)</f>
        <v>#N/A</v>
      </c>
      <c r="L75" s="7"/>
      <c r="M75" s="7"/>
      <c r="N75" s="8"/>
      <c r="O75" s="8"/>
      <c r="P75" s="25" t="e">
        <f>VLOOKUP(Q75,Sif_taksa!$B$2:$C$21,2,FALSE)</f>
        <v>#N/A</v>
      </c>
      <c r="Q75" s="26"/>
      <c r="R75" s="26"/>
    </row>
    <row r="76" spans="1:18" x14ac:dyDescent="0.25">
      <c r="A76" s="25">
        <v>68</v>
      </c>
      <c r="B76" s="25" t="e">
        <f>VLOOKUP(C76,Sif_prostori!$B$2:$C$4,2,FALSE)</f>
        <v>#N/A</v>
      </c>
      <c r="C76" s="7"/>
      <c r="D76" s="7"/>
      <c r="E76" s="7"/>
      <c r="F76" s="25" t="e">
        <f>VLOOKUP(G76,Sif_spol!$B$2:$C$3,2,FALSE)</f>
        <v>#N/A</v>
      </c>
      <c r="G76" s="7"/>
      <c r="H76" s="8"/>
      <c r="I76" s="25" t="e">
        <f>VLOOKUP(J76,Sif_drzave!$B$2:$C$252,2,FALSE)</f>
        <v>#N/A</v>
      </c>
      <c r="J76" s="7"/>
      <c r="K76" s="25" t="e">
        <f>VLOOKUP(L76,Sif_dokumenti!$B$2:$C$9,2,FALSE)</f>
        <v>#N/A</v>
      </c>
      <c r="L76" s="7"/>
      <c r="M76" s="7"/>
      <c r="N76" s="8"/>
      <c r="O76" s="8"/>
      <c r="P76" s="25" t="e">
        <f>VLOOKUP(Q76,Sif_taksa!$B$2:$C$21,2,FALSE)</f>
        <v>#N/A</v>
      </c>
      <c r="Q76" s="26"/>
      <c r="R76" s="26"/>
    </row>
    <row r="77" spans="1:18" x14ac:dyDescent="0.25">
      <c r="A77" s="25">
        <v>69</v>
      </c>
      <c r="B77" s="25" t="e">
        <f>VLOOKUP(C77,Sif_prostori!$B$2:$C$4,2,FALSE)</f>
        <v>#N/A</v>
      </c>
      <c r="C77" s="7"/>
      <c r="D77" s="7"/>
      <c r="E77" s="7"/>
      <c r="F77" s="25" t="e">
        <f>VLOOKUP(G77,Sif_spol!$B$2:$C$3,2,FALSE)</f>
        <v>#N/A</v>
      </c>
      <c r="G77" s="7"/>
      <c r="H77" s="8"/>
      <c r="I77" s="25" t="e">
        <f>VLOOKUP(J77,Sif_drzave!$B$2:$C$252,2,FALSE)</f>
        <v>#N/A</v>
      </c>
      <c r="J77" s="7"/>
      <c r="K77" s="25" t="e">
        <f>VLOOKUP(L77,Sif_dokumenti!$B$2:$C$9,2,FALSE)</f>
        <v>#N/A</v>
      </c>
      <c r="L77" s="7"/>
      <c r="M77" s="7"/>
      <c r="N77" s="8"/>
      <c r="O77" s="8"/>
      <c r="P77" s="25" t="e">
        <f>VLOOKUP(Q77,Sif_taksa!$B$2:$C$21,2,FALSE)</f>
        <v>#N/A</v>
      </c>
      <c r="Q77" s="26"/>
      <c r="R77" s="26"/>
    </row>
    <row r="78" spans="1:18" x14ac:dyDescent="0.25">
      <c r="A78" s="25">
        <v>70</v>
      </c>
      <c r="B78" s="25" t="e">
        <f>VLOOKUP(C78,Sif_prostori!$B$2:$C$4,2,FALSE)</f>
        <v>#N/A</v>
      </c>
      <c r="C78" s="7"/>
      <c r="D78" s="7"/>
      <c r="E78" s="7"/>
      <c r="F78" s="25" t="e">
        <f>VLOOKUP(G78,Sif_spol!$B$2:$C$3,2,FALSE)</f>
        <v>#N/A</v>
      </c>
      <c r="G78" s="7"/>
      <c r="H78" s="8"/>
      <c r="I78" s="25" t="e">
        <f>VLOOKUP(J78,Sif_drzave!$B$2:$C$252,2,FALSE)</f>
        <v>#N/A</v>
      </c>
      <c r="J78" s="7"/>
      <c r="K78" s="25" t="e">
        <f>VLOOKUP(L78,Sif_dokumenti!$B$2:$C$9,2,FALSE)</f>
        <v>#N/A</v>
      </c>
      <c r="L78" s="7"/>
      <c r="M78" s="7"/>
      <c r="N78" s="8"/>
      <c r="O78" s="8"/>
      <c r="P78" s="25" t="e">
        <f>VLOOKUP(Q78,Sif_taksa!$B$2:$C$21,2,FALSE)</f>
        <v>#N/A</v>
      </c>
      <c r="Q78" s="26"/>
      <c r="R78" s="26"/>
    </row>
    <row r="79" spans="1:18" x14ac:dyDescent="0.25">
      <c r="A79" s="25">
        <v>71</v>
      </c>
      <c r="B79" s="25" t="e">
        <f>VLOOKUP(C79,Sif_prostori!$B$2:$C$4,2,FALSE)</f>
        <v>#N/A</v>
      </c>
      <c r="C79" s="7"/>
      <c r="D79" s="7"/>
      <c r="E79" s="7"/>
      <c r="F79" s="25" t="e">
        <f>VLOOKUP(G79,Sif_spol!$B$2:$C$3,2,FALSE)</f>
        <v>#N/A</v>
      </c>
      <c r="G79" s="7"/>
      <c r="H79" s="8"/>
      <c r="I79" s="25" t="e">
        <f>VLOOKUP(J79,Sif_drzave!$B$2:$C$252,2,FALSE)</f>
        <v>#N/A</v>
      </c>
      <c r="J79" s="7"/>
      <c r="K79" s="25" t="e">
        <f>VLOOKUP(L79,Sif_dokumenti!$B$2:$C$9,2,FALSE)</f>
        <v>#N/A</v>
      </c>
      <c r="L79" s="7"/>
      <c r="M79" s="7"/>
      <c r="N79" s="8"/>
      <c r="O79" s="8"/>
      <c r="P79" s="25" t="e">
        <f>VLOOKUP(Q79,Sif_taksa!$B$2:$C$21,2,FALSE)</f>
        <v>#N/A</v>
      </c>
      <c r="Q79" s="26"/>
      <c r="R79" s="26"/>
    </row>
    <row r="80" spans="1:18" x14ac:dyDescent="0.25">
      <c r="A80" s="25">
        <v>72</v>
      </c>
      <c r="B80" s="25" t="e">
        <f>VLOOKUP(C80,Sif_prostori!$B$2:$C$4,2,FALSE)</f>
        <v>#N/A</v>
      </c>
      <c r="C80" s="7"/>
      <c r="D80" s="7"/>
      <c r="E80" s="7"/>
      <c r="F80" s="25" t="e">
        <f>VLOOKUP(G80,Sif_spol!$B$2:$C$3,2,FALSE)</f>
        <v>#N/A</v>
      </c>
      <c r="G80" s="7"/>
      <c r="H80" s="8"/>
      <c r="I80" s="25" t="e">
        <f>VLOOKUP(J80,Sif_drzave!$B$2:$C$252,2,FALSE)</f>
        <v>#N/A</v>
      </c>
      <c r="J80" s="7"/>
      <c r="K80" s="25" t="e">
        <f>VLOOKUP(L80,Sif_dokumenti!$B$2:$C$9,2,FALSE)</f>
        <v>#N/A</v>
      </c>
      <c r="L80" s="7"/>
      <c r="M80" s="7"/>
      <c r="N80" s="8"/>
      <c r="O80" s="8"/>
      <c r="P80" s="25" t="e">
        <f>VLOOKUP(Q80,Sif_taksa!$B$2:$C$21,2,FALSE)</f>
        <v>#N/A</v>
      </c>
      <c r="Q80" s="26"/>
      <c r="R80" s="26"/>
    </row>
    <row r="81" spans="1:18" x14ac:dyDescent="0.25">
      <c r="A81" s="25">
        <v>73</v>
      </c>
      <c r="B81" s="25" t="e">
        <f>VLOOKUP(C81,Sif_prostori!$B$2:$C$4,2,FALSE)</f>
        <v>#N/A</v>
      </c>
      <c r="C81" s="7"/>
      <c r="D81" s="7"/>
      <c r="E81" s="7"/>
      <c r="F81" s="25" t="e">
        <f>VLOOKUP(G81,Sif_spol!$B$2:$C$3,2,FALSE)</f>
        <v>#N/A</v>
      </c>
      <c r="G81" s="7"/>
      <c r="H81" s="8"/>
      <c r="I81" s="25" t="e">
        <f>VLOOKUP(J81,Sif_drzave!$B$2:$C$252,2,FALSE)</f>
        <v>#N/A</v>
      </c>
      <c r="J81" s="7"/>
      <c r="K81" s="25" t="e">
        <f>VLOOKUP(L81,Sif_dokumenti!$B$2:$C$9,2,FALSE)</f>
        <v>#N/A</v>
      </c>
      <c r="L81" s="7"/>
      <c r="M81" s="7"/>
      <c r="N81" s="8"/>
      <c r="O81" s="8"/>
      <c r="P81" s="25" t="e">
        <f>VLOOKUP(Q81,Sif_taksa!$B$2:$C$21,2,FALSE)</f>
        <v>#N/A</v>
      </c>
      <c r="Q81" s="26"/>
      <c r="R81" s="26"/>
    </row>
    <row r="82" spans="1:18" x14ac:dyDescent="0.25">
      <c r="A82" s="25">
        <v>74</v>
      </c>
      <c r="B82" s="25" t="e">
        <f>VLOOKUP(C82,Sif_prostori!$B$2:$C$4,2,FALSE)</f>
        <v>#N/A</v>
      </c>
      <c r="C82" s="7"/>
      <c r="D82" s="7"/>
      <c r="E82" s="7"/>
      <c r="F82" s="25" t="e">
        <f>VLOOKUP(G82,Sif_spol!$B$2:$C$3,2,FALSE)</f>
        <v>#N/A</v>
      </c>
      <c r="G82" s="7"/>
      <c r="H82" s="8"/>
      <c r="I82" s="25" t="e">
        <f>VLOOKUP(J82,Sif_drzave!$B$2:$C$252,2,FALSE)</f>
        <v>#N/A</v>
      </c>
      <c r="J82" s="7"/>
      <c r="K82" s="25" t="e">
        <f>VLOOKUP(L82,Sif_dokumenti!$B$2:$C$9,2,FALSE)</f>
        <v>#N/A</v>
      </c>
      <c r="L82" s="7"/>
      <c r="M82" s="7"/>
      <c r="N82" s="8"/>
      <c r="O82" s="8"/>
      <c r="P82" s="25" t="e">
        <f>VLOOKUP(Q82,Sif_taksa!$B$2:$C$21,2,FALSE)</f>
        <v>#N/A</v>
      </c>
      <c r="Q82" s="26"/>
      <c r="R82" s="26"/>
    </row>
    <row r="83" spans="1:18" x14ac:dyDescent="0.25">
      <c r="A83" s="25">
        <v>75</v>
      </c>
      <c r="B83" s="25" t="e">
        <f>VLOOKUP(C83,Sif_prostori!$B$2:$C$4,2,FALSE)</f>
        <v>#N/A</v>
      </c>
      <c r="C83" s="7"/>
      <c r="D83" s="7"/>
      <c r="E83" s="7"/>
      <c r="F83" s="25" t="e">
        <f>VLOOKUP(G83,Sif_spol!$B$2:$C$3,2,FALSE)</f>
        <v>#N/A</v>
      </c>
      <c r="G83" s="7"/>
      <c r="H83" s="8"/>
      <c r="I83" s="25" t="e">
        <f>VLOOKUP(J83,Sif_drzave!$B$2:$C$252,2,FALSE)</f>
        <v>#N/A</v>
      </c>
      <c r="J83" s="7"/>
      <c r="K83" s="25" t="e">
        <f>VLOOKUP(L83,Sif_dokumenti!$B$2:$C$9,2,FALSE)</f>
        <v>#N/A</v>
      </c>
      <c r="L83" s="7"/>
      <c r="M83" s="7"/>
      <c r="N83" s="8"/>
      <c r="O83" s="8"/>
      <c r="P83" s="25" t="e">
        <f>VLOOKUP(Q83,Sif_taksa!$B$2:$C$21,2,FALSE)</f>
        <v>#N/A</v>
      </c>
      <c r="Q83" s="26"/>
      <c r="R83" s="26"/>
    </row>
    <row r="84" spans="1:18" x14ac:dyDescent="0.25">
      <c r="A84" s="25">
        <v>76</v>
      </c>
      <c r="B84" s="25" t="e">
        <f>VLOOKUP(C84,Sif_prostori!$B$2:$C$4,2,FALSE)</f>
        <v>#N/A</v>
      </c>
      <c r="C84" s="7"/>
      <c r="D84" s="7"/>
      <c r="E84" s="7"/>
      <c r="F84" s="25" t="e">
        <f>VLOOKUP(G84,Sif_spol!$B$2:$C$3,2,FALSE)</f>
        <v>#N/A</v>
      </c>
      <c r="G84" s="7"/>
      <c r="H84" s="8"/>
      <c r="I84" s="25" t="e">
        <f>VLOOKUP(J84,Sif_drzave!$B$2:$C$252,2,FALSE)</f>
        <v>#N/A</v>
      </c>
      <c r="J84" s="7"/>
      <c r="K84" s="25" t="e">
        <f>VLOOKUP(L84,Sif_dokumenti!$B$2:$C$9,2,FALSE)</f>
        <v>#N/A</v>
      </c>
      <c r="L84" s="7"/>
      <c r="M84" s="7"/>
      <c r="N84" s="8"/>
      <c r="O84" s="8"/>
      <c r="P84" s="25" t="e">
        <f>VLOOKUP(Q84,Sif_taksa!$B$2:$C$21,2,FALSE)</f>
        <v>#N/A</v>
      </c>
      <c r="Q84" s="26"/>
      <c r="R84" s="26"/>
    </row>
    <row r="85" spans="1:18" x14ac:dyDescent="0.25">
      <c r="A85" s="25">
        <v>77</v>
      </c>
      <c r="B85" s="25" t="e">
        <f>VLOOKUP(C85,Sif_prostori!$B$2:$C$4,2,FALSE)</f>
        <v>#N/A</v>
      </c>
      <c r="C85" s="7"/>
      <c r="D85" s="7"/>
      <c r="E85" s="7"/>
      <c r="F85" s="25" t="e">
        <f>VLOOKUP(G85,Sif_spol!$B$2:$C$3,2,FALSE)</f>
        <v>#N/A</v>
      </c>
      <c r="G85" s="7"/>
      <c r="H85" s="8"/>
      <c r="I85" s="25" t="e">
        <f>VLOOKUP(J85,Sif_drzave!$B$2:$C$252,2,FALSE)</f>
        <v>#N/A</v>
      </c>
      <c r="J85" s="7"/>
      <c r="K85" s="25" t="e">
        <f>VLOOKUP(L85,Sif_dokumenti!$B$2:$C$9,2,FALSE)</f>
        <v>#N/A</v>
      </c>
      <c r="L85" s="7"/>
      <c r="M85" s="7"/>
      <c r="N85" s="8"/>
      <c r="O85" s="8"/>
      <c r="P85" s="25" t="e">
        <f>VLOOKUP(Q85,Sif_taksa!$B$2:$C$21,2,FALSE)</f>
        <v>#N/A</v>
      </c>
      <c r="Q85" s="26"/>
      <c r="R85" s="26"/>
    </row>
    <row r="86" spans="1:18" x14ac:dyDescent="0.25">
      <c r="A86" s="25">
        <v>78</v>
      </c>
      <c r="B86" s="25" t="e">
        <f>VLOOKUP(C86,Sif_prostori!$B$2:$C$4,2,FALSE)</f>
        <v>#N/A</v>
      </c>
      <c r="C86" s="7"/>
      <c r="D86" s="7"/>
      <c r="E86" s="7"/>
      <c r="F86" s="25" t="e">
        <f>VLOOKUP(G86,Sif_spol!$B$2:$C$3,2,FALSE)</f>
        <v>#N/A</v>
      </c>
      <c r="G86" s="7"/>
      <c r="H86" s="8"/>
      <c r="I86" s="25" t="e">
        <f>VLOOKUP(J86,Sif_drzave!$B$2:$C$252,2,FALSE)</f>
        <v>#N/A</v>
      </c>
      <c r="J86" s="7"/>
      <c r="K86" s="25" t="e">
        <f>VLOOKUP(L86,Sif_dokumenti!$B$2:$C$9,2,FALSE)</f>
        <v>#N/A</v>
      </c>
      <c r="L86" s="7"/>
      <c r="M86" s="7"/>
      <c r="N86" s="8"/>
      <c r="O86" s="8"/>
      <c r="P86" s="25" t="e">
        <f>VLOOKUP(Q86,Sif_taksa!$B$2:$C$21,2,FALSE)</f>
        <v>#N/A</v>
      </c>
      <c r="Q86" s="26"/>
      <c r="R86" s="26"/>
    </row>
    <row r="87" spans="1:18" x14ac:dyDescent="0.25">
      <c r="A87" s="25">
        <v>79</v>
      </c>
      <c r="B87" s="25" t="e">
        <f>VLOOKUP(C87,Sif_prostori!$B$2:$C$4,2,FALSE)</f>
        <v>#N/A</v>
      </c>
      <c r="C87" s="7"/>
      <c r="D87" s="7"/>
      <c r="E87" s="7"/>
      <c r="F87" s="25" t="e">
        <f>VLOOKUP(G87,Sif_spol!$B$2:$C$3,2,FALSE)</f>
        <v>#N/A</v>
      </c>
      <c r="G87" s="7"/>
      <c r="H87" s="8"/>
      <c r="I87" s="25" t="e">
        <f>VLOOKUP(J87,Sif_drzave!$B$2:$C$252,2,FALSE)</f>
        <v>#N/A</v>
      </c>
      <c r="J87" s="7"/>
      <c r="K87" s="25" t="e">
        <f>VLOOKUP(L87,Sif_dokumenti!$B$2:$C$9,2,FALSE)</f>
        <v>#N/A</v>
      </c>
      <c r="L87" s="7"/>
      <c r="M87" s="7"/>
      <c r="N87" s="8"/>
      <c r="O87" s="8"/>
      <c r="P87" s="25" t="e">
        <f>VLOOKUP(Q87,Sif_taksa!$B$2:$C$21,2,FALSE)</f>
        <v>#N/A</v>
      </c>
      <c r="Q87" s="26"/>
      <c r="R87" s="26"/>
    </row>
    <row r="88" spans="1:18" x14ac:dyDescent="0.25">
      <c r="A88" s="25">
        <v>80</v>
      </c>
      <c r="B88" s="25" t="e">
        <f>VLOOKUP(C88,Sif_prostori!$B$2:$C$4,2,FALSE)</f>
        <v>#N/A</v>
      </c>
      <c r="C88" s="7"/>
      <c r="D88" s="7"/>
      <c r="E88" s="7"/>
      <c r="F88" s="25" t="e">
        <f>VLOOKUP(G88,Sif_spol!$B$2:$C$3,2,FALSE)</f>
        <v>#N/A</v>
      </c>
      <c r="G88" s="7"/>
      <c r="H88" s="8"/>
      <c r="I88" s="25" t="e">
        <f>VLOOKUP(J88,Sif_drzave!$B$2:$C$252,2,FALSE)</f>
        <v>#N/A</v>
      </c>
      <c r="J88" s="7"/>
      <c r="K88" s="25" t="e">
        <f>VLOOKUP(L88,Sif_dokumenti!$B$2:$C$9,2,FALSE)</f>
        <v>#N/A</v>
      </c>
      <c r="L88" s="7"/>
      <c r="M88" s="7"/>
      <c r="N88" s="8"/>
      <c r="O88" s="8"/>
      <c r="P88" s="25" t="e">
        <f>VLOOKUP(Q88,Sif_taksa!$B$2:$C$21,2,FALSE)</f>
        <v>#N/A</v>
      </c>
      <c r="Q88" s="26"/>
      <c r="R88" s="26"/>
    </row>
    <row r="89" spans="1:18" x14ac:dyDescent="0.25">
      <c r="A89" s="25">
        <v>81</v>
      </c>
      <c r="B89" s="25" t="e">
        <f>VLOOKUP(C89,Sif_prostori!$B$2:$C$4,2,FALSE)</f>
        <v>#N/A</v>
      </c>
      <c r="C89" s="7"/>
      <c r="D89" s="7"/>
      <c r="E89" s="7"/>
      <c r="F89" s="25" t="e">
        <f>VLOOKUP(G89,Sif_spol!$B$2:$C$3,2,FALSE)</f>
        <v>#N/A</v>
      </c>
      <c r="G89" s="7"/>
      <c r="H89" s="8"/>
      <c r="I89" s="25" t="e">
        <f>VLOOKUP(J89,Sif_drzave!$B$2:$C$252,2,FALSE)</f>
        <v>#N/A</v>
      </c>
      <c r="J89" s="7"/>
      <c r="K89" s="25" t="e">
        <f>VLOOKUP(L89,Sif_dokumenti!$B$2:$C$9,2,FALSE)</f>
        <v>#N/A</v>
      </c>
      <c r="L89" s="7"/>
      <c r="M89" s="7"/>
      <c r="N89" s="8"/>
      <c r="O89" s="8"/>
      <c r="P89" s="25" t="e">
        <f>VLOOKUP(Q89,Sif_taksa!$B$2:$C$21,2,FALSE)</f>
        <v>#N/A</v>
      </c>
      <c r="Q89" s="26"/>
      <c r="R89" s="26"/>
    </row>
    <row r="90" spans="1:18" x14ac:dyDescent="0.25">
      <c r="A90" s="25">
        <v>82</v>
      </c>
      <c r="B90" s="25" t="e">
        <f>VLOOKUP(C90,Sif_prostori!$B$2:$C$4,2,FALSE)</f>
        <v>#N/A</v>
      </c>
      <c r="C90" s="7"/>
      <c r="D90" s="7"/>
      <c r="E90" s="7"/>
      <c r="F90" s="25" t="e">
        <f>VLOOKUP(G90,Sif_spol!$B$2:$C$3,2,FALSE)</f>
        <v>#N/A</v>
      </c>
      <c r="G90" s="7"/>
      <c r="H90" s="8"/>
      <c r="I90" s="25" t="e">
        <f>VLOOKUP(J90,Sif_drzave!$B$2:$C$252,2,FALSE)</f>
        <v>#N/A</v>
      </c>
      <c r="J90" s="7"/>
      <c r="K90" s="25" t="e">
        <f>VLOOKUP(L90,Sif_dokumenti!$B$2:$C$9,2,FALSE)</f>
        <v>#N/A</v>
      </c>
      <c r="L90" s="7"/>
      <c r="M90" s="7"/>
      <c r="N90" s="8"/>
      <c r="O90" s="8"/>
      <c r="P90" s="25" t="e">
        <f>VLOOKUP(Q90,Sif_taksa!$B$2:$C$21,2,FALSE)</f>
        <v>#N/A</v>
      </c>
      <c r="Q90" s="26"/>
      <c r="R90" s="26"/>
    </row>
    <row r="91" spans="1:18" x14ac:dyDescent="0.25">
      <c r="A91" s="25">
        <v>83</v>
      </c>
      <c r="B91" s="25" t="e">
        <f>VLOOKUP(C91,Sif_prostori!$B$2:$C$4,2,FALSE)</f>
        <v>#N/A</v>
      </c>
      <c r="C91" s="7"/>
      <c r="D91" s="7"/>
      <c r="E91" s="7"/>
      <c r="F91" s="25" t="e">
        <f>VLOOKUP(G91,Sif_spol!$B$2:$C$3,2,FALSE)</f>
        <v>#N/A</v>
      </c>
      <c r="G91" s="7"/>
      <c r="H91" s="8"/>
      <c r="I91" s="25" t="e">
        <f>VLOOKUP(J91,Sif_drzave!$B$2:$C$252,2,FALSE)</f>
        <v>#N/A</v>
      </c>
      <c r="J91" s="7"/>
      <c r="K91" s="25" t="e">
        <f>VLOOKUP(L91,Sif_dokumenti!$B$2:$C$9,2,FALSE)</f>
        <v>#N/A</v>
      </c>
      <c r="L91" s="7"/>
      <c r="M91" s="7"/>
      <c r="N91" s="8"/>
      <c r="O91" s="8"/>
      <c r="P91" s="25" t="e">
        <f>VLOOKUP(Q91,Sif_taksa!$B$2:$C$21,2,FALSE)</f>
        <v>#N/A</v>
      </c>
      <c r="Q91" s="26"/>
      <c r="R91" s="26"/>
    </row>
    <row r="92" spans="1:18" x14ac:dyDescent="0.25">
      <c r="A92" s="25">
        <v>84</v>
      </c>
      <c r="B92" s="25" t="e">
        <f>VLOOKUP(C92,Sif_prostori!$B$2:$C$4,2,FALSE)</f>
        <v>#N/A</v>
      </c>
      <c r="C92" s="7"/>
      <c r="D92" s="7"/>
      <c r="E92" s="7"/>
      <c r="F92" s="25" t="e">
        <f>VLOOKUP(G92,Sif_spol!$B$2:$C$3,2,FALSE)</f>
        <v>#N/A</v>
      </c>
      <c r="G92" s="7"/>
      <c r="H92" s="8"/>
      <c r="I92" s="25" t="e">
        <f>VLOOKUP(J92,Sif_drzave!$B$2:$C$252,2,FALSE)</f>
        <v>#N/A</v>
      </c>
      <c r="J92" s="7"/>
      <c r="K92" s="25" t="e">
        <f>VLOOKUP(L92,Sif_dokumenti!$B$2:$C$9,2,FALSE)</f>
        <v>#N/A</v>
      </c>
      <c r="L92" s="7"/>
      <c r="M92" s="7"/>
      <c r="N92" s="8"/>
      <c r="O92" s="8"/>
      <c r="P92" s="25" t="e">
        <f>VLOOKUP(Q92,Sif_taksa!$B$2:$C$21,2,FALSE)</f>
        <v>#N/A</v>
      </c>
      <c r="Q92" s="26"/>
      <c r="R92" s="26"/>
    </row>
    <row r="93" spans="1:18" x14ac:dyDescent="0.25">
      <c r="A93" s="25">
        <v>85</v>
      </c>
      <c r="B93" s="25" t="e">
        <f>VLOOKUP(C93,Sif_prostori!$B$2:$C$4,2,FALSE)</f>
        <v>#N/A</v>
      </c>
      <c r="C93" s="7"/>
      <c r="D93" s="7"/>
      <c r="E93" s="7"/>
      <c r="F93" s="25" t="e">
        <f>VLOOKUP(G93,Sif_spol!$B$2:$C$3,2,FALSE)</f>
        <v>#N/A</v>
      </c>
      <c r="G93" s="7"/>
      <c r="H93" s="8"/>
      <c r="I93" s="25" t="e">
        <f>VLOOKUP(J93,Sif_drzave!$B$2:$C$252,2,FALSE)</f>
        <v>#N/A</v>
      </c>
      <c r="J93" s="7"/>
      <c r="K93" s="25" t="e">
        <f>VLOOKUP(L93,Sif_dokumenti!$B$2:$C$9,2,FALSE)</f>
        <v>#N/A</v>
      </c>
      <c r="L93" s="7"/>
      <c r="M93" s="7"/>
      <c r="N93" s="8"/>
      <c r="O93" s="8"/>
      <c r="P93" s="25" t="e">
        <f>VLOOKUP(Q93,Sif_taksa!$B$2:$C$21,2,FALSE)</f>
        <v>#N/A</v>
      </c>
      <c r="Q93" s="26"/>
      <c r="R93" s="26"/>
    </row>
    <row r="94" spans="1:18" x14ac:dyDescent="0.25">
      <c r="A94" s="25">
        <v>86</v>
      </c>
      <c r="B94" s="25" t="e">
        <f>VLOOKUP(C94,Sif_prostori!$B$2:$C$4,2,FALSE)</f>
        <v>#N/A</v>
      </c>
      <c r="C94" s="7"/>
      <c r="D94" s="7"/>
      <c r="E94" s="7"/>
      <c r="F94" s="25" t="e">
        <f>VLOOKUP(G94,Sif_spol!$B$2:$C$3,2,FALSE)</f>
        <v>#N/A</v>
      </c>
      <c r="G94" s="7"/>
      <c r="H94" s="8"/>
      <c r="I94" s="25" t="e">
        <f>VLOOKUP(J94,Sif_drzave!$B$2:$C$252,2,FALSE)</f>
        <v>#N/A</v>
      </c>
      <c r="J94" s="7"/>
      <c r="K94" s="25" t="e">
        <f>VLOOKUP(L94,Sif_dokumenti!$B$2:$C$9,2,FALSE)</f>
        <v>#N/A</v>
      </c>
      <c r="L94" s="7"/>
      <c r="M94" s="7"/>
      <c r="N94" s="8"/>
      <c r="O94" s="8"/>
      <c r="P94" s="25" t="e">
        <f>VLOOKUP(Q94,Sif_taksa!$B$2:$C$21,2,FALSE)</f>
        <v>#N/A</v>
      </c>
      <c r="Q94" s="26"/>
      <c r="R94" s="26"/>
    </row>
    <row r="95" spans="1:18" x14ac:dyDescent="0.25">
      <c r="A95" s="25">
        <v>87</v>
      </c>
      <c r="B95" s="25" t="e">
        <f>VLOOKUP(C95,Sif_prostori!$B$2:$C$4,2,FALSE)</f>
        <v>#N/A</v>
      </c>
      <c r="C95" s="7"/>
      <c r="D95" s="7"/>
      <c r="E95" s="7"/>
      <c r="F95" s="25" t="e">
        <f>VLOOKUP(G95,Sif_spol!$B$2:$C$3,2,FALSE)</f>
        <v>#N/A</v>
      </c>
      <c r="G95" s="7"/>
      <c r="H95" s="8"/>
      <c r="I95" s="25" t="e">
        <f>VLOOKUP(J95,Sif_drzave!$B$2:$C$252,2,FALSE)</f>
        <v>#N/A</v>
      </c>
      <c r="J95" s="7"/>
      <c r="K95" s="25" t="e">
        <f>VLOOKUP(L95,Sif_dokumenti!$B$2:$C$9,2,FALSE)</f>
        <v>#N/A</v>
      </c>
      <c r="L95" s="7"/>
      <c r="M95" s="7"/>
      <c r="N95" s="8"/>
      <c r="O95" s="8"/>
      <c r="P95" s="25" t="e">
        <f>VLOOKUP(Q95,Sif_taksa!$B$2:$C$21,2,FALSE)</f>
        <v>#N/A</v>
      </c>
      <c r="Q95" s="26"/>
      <c r="R95" s="26"/>
    </row>
    <row r="96" spans="1:18" x14ac:dyDescent="0.25">
      <c r="A96" s="25">
        <v>88</v>
      </c>
      <c r="B96" s="25" t="e">
        <f>VLOOKUP(C96,Sif_prostori!$B$2:$C$4,2,FALSE)</f>
        <v>#N/A</v>
      </c>
      <c r="C96" s="7"/>
      <c r="D96" s="7"/>
      <c r="E96" s="7"/>
      <c r="F96" s="25" t="e">
        <f>VLOOKUP(G96,Sif_spol!$B$2:$C$3,2,FALSE)</f>
        <v>#N/A</v>
      </c>
      <c r="G96" s="7"/>
      <c r="H96" s="8"/>
      <c r="I96" s="25" t="e">
        <f>VLOOKUP(J96,Sif_drzave!$B$2:$C$252,2,FALSE)</f>
        <v>#N/A</v>
      </c>
      <c r="J96" s="7"/>
      <c r="K96" s="25" t="e">
        <f>VLOOKUP(L96,Sif_dokumenti!$B$2:$C$9,2,FALSE)</f>
        <v>#N/A</v>
      </c>
      <c r="L96" s="7"/>
      <c r="M96" s="7"/>
      <c r="N96" s="8"/>
      <c r="O96" s="8"/>
      <c r="P96" s="25" t="e">
        <f>VLOOKUP(Q96,Sif_taksa!$B$2:$C$21,2,FALSE)</f>
        <v>#N/A</v>
      </c>
      <c r="Q96" s="26"/>
      <c r="R96" s="26"/>
    </row>
    <row r="97" spans="1:18" x14ac:dyDescent="0.25">
      <c r="A97" s="25">
        <v>89</v>
      </c>
      <c r="B97" s="25" t="e">
        <f>VLOOKUP(C97,Sif_prostori!$B$2:$C$4,2,FALSE)</f>
        <v>#N/A</v>
      </c>
      <c r="C97" s="7"/>
      <c r="D97" s="7"/>
      <c r="E97" s="7"/>
      <c r="F97" s="25" t="e">
        <f>VLOOKUP(G97,Sif_spol!$B$2:$C$3,2,FALSE)</f>
        <v>#N/A</v>
      </c>
      <c r="G97" s="7"/>
      <c r="H97" s="8"/>
      <c r="I97" s="25" t="e">
        <f>VLOOKUP(J97,Sif_drzave!$B$2:$C$252,2,FALSE)</f>
        <v>#N/A</v>
      </c>
      <c r="J97" s="7"/>
      <c r="K97" s="25" t="e">
        <f>VLOOKUP(L97,Sif_dokumenti!$B$2:$C$9,2,FALSE)</f>
        <v>#N/A</v>
      </c>
      <c r="L97" s="7"/>
      <c r="M97" s="7"/>
      <c r="N97" s="8"/>
      <c r="O97" s="8"/>
      <c r="P97" s="25" t="e">
        <f>VLOOKUP(Q97,Sif_taksa!$B$2:$C$21,2,FALSE)</f>
        <v>#N/A</v>
      </c>
      <c r="Q97" s="26"/>
      <c r="R97" s="26"/>
    </row>
    <row r="98" spans="1:18" x14ac:dyDescent="0.25">
      <c r="A98" s="25">
        <v>90</v>
      </c>
      <c r="B98" s="25" t="e">
        <f>VLOOKUP(C98,Sif_prostori!$B$2:$C$4,2,FALSE)</f>
        <v>#N/A</v>
      </c>
      <c r="C98" s="7"/>
      <c r="D98" s="7"/>
      <c r="E98" s="7"/>
      <c r="F98" s="25" t="e">
        <f>VLOOKUP(G98,Sif_spol!$B$2:$C$3,2,FALSE)</f>
        <v>#N/A</v>
      </c>
      <c r="G98" s="7"/>
      <c r="H98" s="8"/>
      <c r="I98" s="25" t="e">
        <f>VLOOKUP(J98,Sif_drzave!$B$2:$C$252,2,FALSE)</f>
        <v>#N/A</v>
      </c>
      <c r="J98" s="7"/>
      <c r="K98" s="25" t="e">
        <f>VLOOKUP(L98,Sif_dokumenti!$B$2:$C$9,2,FALSE)</f>
        <v>#N/A</v>
      </c>
      <c r="L98" s="7"/>
      <c r="M98" s="7"/>
      <c r="N98" s="8"/>
      <c r="O98" s="8"/>
      <c r="P98" s="25" t="e">
        <f>VLOOKUP(Q98,Sif_taksa!$B$2:$C$21,2,FALSE)</f>
        <v>#N/A</v>
      </c>
      <c r="Q98" s="26"/>
      <c r="R98" s="26"/>
    </row>
    <row r="99" spans="1:18" x14ac:dyDescent="0.25">
      <c r="A99" s="25">
        <v>91</v>
      </c>
      <c r="B99" s="25" t="e">
        <f>VLOOKUP(C99,Sif_prostori!$B$2:$C$4,2,FALSE)</f>
        <v>#N/A</v>
      </c>
      <c r="C99" s="7"/>
      <c r="D99" s="7"/>
      <c r="E99" s="7"/>
      <c r="F99" s="25" t="e">
        <f>VLOOKUP(G99,Sif_spol!$B$2:$C$3,2,FALSE)</f>
        <v>#N/A</v>
      </c>
      <c r="G99" s="7"/>
      <c r="H99" s="8"/>
      <c r="I99" s="25" t="e">
        <f>VLOOKUP(J99,Sif_drzave!$B$2:$C$252,2,FALSE)</f>
        <v>#N/A</v>
      </c>
      <c r="J99" s="7"/>
      <c r="K99" s="25" t="e">
        <f>VLOOKUP(L99,Sif_dokumenti!$B$2:$C$9,2,FALSE)</f>
        <v>#N/A</v>
      </c>
      <c r="L99" s="7"/>
      <c r="M99" s="7"/>
      <c r="N99" s="8"/>
      <c r="O99" s="8"/>
      <c r="P99" s="25" t="e">
        <f>VLOOKUP(Q99,Sif_taksa!$B$2:$C$21,2,FALSE)</f>
        <v>#N/A</v>
      </c>
      <c r="Q99" s="26"/>
      <c r="R99" s="26"/>
    </row>
    <row r="100" spans="1:18" x14ac:dyDescent="0.25">
      <c r="A100" s="25">
        <v>92</v>
      </c>
      <c r="B100" s="25" t="e">
        <f>VLOOKUP(C100,Sif_prostori!$B$2:$C$4,2,FALSE)</f>
        <v>#N/A</v>
      </c>
      <c r="C100" s="7"/>
      <c r="D100" s="7"/>
      <c r="E100" s="7"/>
      <c r="F100" s="25" t="e">
        <f>VLOOKUP(G100,Sif_spol!$B$2:$C$3,2,FALSE)</f>
        <v>#N/A</v>
      </c>
      <c r="G100" s="7"/>
      <c r="H100" s="8"/>
      <c r="I100" s="25" t="e">
        <f>VLOOKUP(J100,Sif_drzave!$B$2:$C$252,2,FALSE)</f>
        <v>#N/A</v>
      </c>
      <c r="J100" s="7"/>
      <c r="K100" s="25" t="e">
        <f>VLOOKUP(L100,Sif_dokumenti!$B$2:$C$9,2,FALSE)</f>
        <v>#N/A</v>
      </c>
      <c r="L100" s="7"/>
      <c r="M100" s="7"/>
      <c r="N100" s="8"/>
      <c r="O100" s="8"/>
      <c r="P100" s="25" t="e">
        <f>VLOOKUP(Q100,Sif_taksa!$B$2:$C$21,2,FALSE)</f>
        <v>#N/A</v>
      </c>
      <c r="Q100" s="26"/>
      <c r="R100" s="26"/>
    </row>
    <row r="101" spans="1:18" x14ac:dyDescent="0.25">
      <c r="A101" s="25">
        <v>93</v>
      </c>
      <c r="B101" s="25" t="e">
        <f>VLOOKUP(C101,Sif_prostori!$B$2:$C$4,2,FALSE)</f>
        <v>#N/A</v>
      </c>
      <c r="C101" s="7"/>
      <c r="D101" s="7"/>
      <c r="E101" s="7"/>
      <c r="F101" s="25" t="e">
        <f>VLOOKUP(G101,Sif_spol!$B$2:$C$3,2,FALSE)</f>
        <v>#N/A</v>
      </c>
      <c r="G101" s="7"/>
      <c r="H101" s="8"/>
      <c r="I101" s="25" t="e">
        <f>VLOOKUP(J101,Sif_drzave!$B$2:$C$252,2,FALSE)</f>
        <v>#N/A</v>
      </c>
      <c r="J101" s="7"/>
      <c r="K101" s="25" t="e">
        <f>VLOOKUP(L101,Sif_dokumenti!$B$2:$C$9,2,FALSE)</f>
        <v>#N/A</v>
      </c>
      <c r="L101" s="7"/>
      <c r="M101" s="7"/>
      <c r="N101" s="8"/>
      <c r="O101" s="8"/>
      <c r="P101" s="25" t="e">
        <f>VLOOKUP(Q101,Sif_taksa!$B$2:$C$21,2,FALSE)</f>
        <v>#N/A</v>
      </c>
      <c r="Q101" s="26"/>
      <c r="R101" s="26"/>
    </row>
    <row r="102" spans="1:18" x14ac:dyDescent="0.25">
      <c r="A102" s="25">
        <v>94</v>
      </c>
      <c r="B102" s="25" t="e">
        <f>VLOOKUP(C102,Sif_prostori!$B$2:$C$4,2,FALSE)</f>
        <v>#N/A</v>
      </c>
      <c r="C102" s="7"/>
      <c r="D102" s="7"/>
      <c r="E102" s="7"/>
      <c r="F102" s="25" t="e">
        <f>VLOOKUP(G102,Sif_spol!$B$2:$C$3,2,FALSE)</f>
        <v>#N/A</v>
      </c>
      <c r="G102" s="7"/>
      <c r="H102" s="8"/>
      <c r="I102" s="25" t="e">
        <f>VLOOKUP(J102,Sif_drzave!$B$2:$C$252,2,FALSE)</f>
        <v>#N/A</v>
      </c>
      <c r="J102" s="7"/>
      <c r="K102" s="25" t="e">
        <f>VLOOKUP(L102,Sif_dokumenti!$B$2:$C$9,2,FALSE)</f>
        <v>#N/A</v>
      </c>
      <c r="L102" s="7"/>
      <c r="M102" s="7"/>
      <c r="N102" s="8"/>
      <c r="O102" s="8"/>
      <c r="P102" s="25" t="e">
        <f>VLOOKUP(Q102,Sif_taksa!$B$2:$C$21,2,FALSE)</f>
        <v>#N/A</v>
      </c>
      <c r="Q102" s="26"/>
      <c r="R102" s="26"/>
    </row>
    <row r="103" spans="1:18" x14ac:dyDescent="0.25">
      <c r="A103" s="25">
        <v>95</v>
      </c>
      <c r="B103" s="25" t="e">
        <f>VLOOKUP(C103,Sif_prostori!$B$2:$C$4,2,FALSE)</f>
        <v>#N/A</v>
      </c>
      <c r="C103" s="7"/>
      <c r="D103" s="7"/>
      <c r="E103" s="7"/>
      <c r="F103" s="25" t="e">
        <f>VLOOKUP(G103,Sif_spol!$B$2:$C$3,2,FALSE)</f>
        <v>#N/A</v>
      </c>
      <c r="G103" s="7"/>
      <c r="H103" s="8"/>
      <c r="I103" s="25" t="e">
        <f>VLOOKUP(J103,Sif_drzave!$B$2:$C$252,2,FALSE)</f>
        <v>#N/A</v>
      </c>
      <c r="J103" s="7"/>
      <c r="K103" s="25" t="e">
        <f>VLOOKUP(L103,Sif_dokumenti!$B$2:$C$9,2,FALSE)</f>
        <v>#N/A</v>
      </c>
      <c r="L103" s="7"/>
      <c r="M103" s="7"/>
      <c r="N103" s="8"/>
      <c r="O103" s="8"/>
      <c r="P103" s="25" t="e">
        <f>VLOOKUP(Q103,Sif_taksa!$B$2:$C$21,2,FALSE)</f>
        <v>#N/A</v>
      </c>
      <c r="Q103" s="26"/>
      <c r="R103" s="26"/>
    </row>
    <row r="104" spans="1:18" x14ac:dyDescent="0.25">
      <c r="A104" s="25">
        <v>96</v>
      </c>
      <c r="B104" s="25" t="e">
        <f>VLOOKUP(C104,Sif_prostori!$B$2:$C$4,2,FALSE)</f>
        <v>#N/A</v>
      </c>
      <c r="C104" s="7"/>
      <c r="D104" s="7"/>
      <c r="E104" s="7"/>
      <c r="F104" s="25" t="e">
        <f>VLOOKUP(G104,Sif_spol!$B$2:$C$3,2,FALSE)</f>
        <v>#N/A</v>
      </c>
      <c r="G104" s="7"/>
      <c r="H104" s="8"/>
      <c r="I104" s="25" t="e">
        <f>VLOOKUP(J104,Sif_drzave!$B$2:$C$252,2,FALSE)</f>
        <v>#N/A</v>
      </c>
      <c r="J104" s="7"/>
      <c r="K104" s="25" t="e">
        <f>VLOOKUP(L104,Sif_dokumenti!$B$2:$C$9,2,FALSE)</f>
        <v>#N/A</v>
      </c>
      <c r="L104" s="7"/>
      <c r="M104" s="7"/>
      <c r="N104" s="8"/>
      <c r="O104" s="8"/>
      <c r="P104" s="25" t="e">
        <f>VLOOKUP(Q104,Sif_taksa!$B$2:$C$21,2,FALSE)</f>
        <v>#N/A</v>
      </c>
      <c r="Q104" s="26"/>
      <c r="R104" s="26"/>
    </row>
    <row r="105" spans="1:18" x14ac:dyDescent="0.25">
      <c r="A105" s="25">
        <v>97</v>
      </c>
      <c r="B105" s="25" t="e">
        <f>VLOOKUP(C105,Sif_prostori!$B$2:$C$4,2,FALSE)</f>
        <v>#N/A</v>
      </c>
      <c r="C105" s="7"/>
      <c r="D105" s="7"/>
      <c r="E105" s="7"/>
      <c r="F105" s="25" t="e">
        <f>VLOOKUP(G105,Sif_spol!$B$2:$C$3,2,FALSE)</f>
        <v>#N/A</v>
      </c>
      <c r="G105" s="7"/>
      <c r="H105" s="8"/>
      <c r="I105" s="25" t="e">
        <f>VLOOKUP(J105,Sif_drzave!$B$2:$C$252,2,FALSE)</f>
        <v>#N/A</v>
      </c>
      <c r="J105" s="7"/>
      <c r="K105" s="25" t="e">
        <f>VLOOKUP(L105,Sif_dokumenti!$B$2:$C$9,2,FALSE)</f>
        <v>#N/A</v>
      </c>
      <c r="L105" s="7"/>
      <c r="M105" s="7"/>
      <c r="N105" s="8"/>
      <c r="O105" s="8"/>
      <c r="P105" s="25" t="e">
        <f>VLOOKUP(Q105,Sif_taksa!$B$2:$C$21,2,FALSE)</f>
        <v>#N/A</v>
      </c>
      <c r="Q105" s="26"/>
      <c r="R105" s="26"/>
    </row>
    <row r="106" spans="1:18" x14ac:dyDescent="0.25">
      <c r="A106" s="25">
        <v>98</v>
      </c>
      <c r="B106" s="25" t="e">
        <f>VLOOKUP(C106,Sif_prostori!$B$2:$C$4,2,FALSE)</f>
        <v>#N/A</v>
      </c>
      <c r="C106" s="7"/>
      <c r="D106" s="7"/>
      <c r="E106" s="7"/>
      <c r="F106" s="25" t="e">
        <f>VLOOKUP(G106,Sif_spol!$B$2:$C$3,2,FALSE)</f>
        <v>#N/A</v>
      </c>
      <c r="G106" s="7"/>
      <c r="H106" s="8"/>
      <c r="I106" s="25" t="e">
        <f>VLOOKUP(J106,Sif_drzave!$B$2:$C$252,2,FALSE)</f>
        <v>#N/A</v>
      </c>
      <c r="J106" s="7"/>
      <c r="K106" s="25" t="e">
        <f>VLOOKUP(L106,Sif_dokumenti!$B$2:$C$9,2,FALSE)</f>
        <v>#N/A</v>
      </c>
      <c r="L106" s="7"/>
      <c r="M106" s="7"/>
      <c r="N106" s="8"/>
      <c r="O106" s="8"/>
      <c r="P106" s="25" t="e">
        <f>VLOOKUP(Q106,Sif_taksa!$B$2:$C$21,2,FALSE)</f>
        <v>#N/A</v>
      </c>
      <c r="Q106" s="26"/>
      <c r="R106" s="26"/>
    </row>
    <row r="107" spans="1:18" x14ac:dyDescent="0.25">
      <c r="A107" s="25">
        <v>99</v>
      </c>
      <c r="B107" s="25" t="e">
        <f>VLOOKUP(C107,Sif_prostori!$B$2:$C$4,2,FALSE)</f>
        <v>#N/A</v>
      </c>
      <c r="C107" s="7"/>
      <c r="D107" s="7"/>
      <c r="E107" s="7"/>
      <c r="F107" s="25" t="e">
        <f>VLOOKUP(G107,Sif_spol!$B$2:$C$3,2,FALSE)</f>
        <v>#N/A</v>
      </c>
      <c r="G107" s="7"/>
      <c r="H107" s="8"/>
      <c r="I107" s="25" t="e">
        <f>VLOOKUP(J107,Sif_drzave!$B$2:$C$252,2,FALSE)</f>
        <v>#N/A</v>
      </c>
      <c r="J107" s="7"/>
      <c r="K107" s="25" t="e">
        <f>VLOOKUP(L107,Sif_dokumenti!$B$2:$C$9,2,FALSE)</f>
        <v>#N/A</v>
      </c>
      <c r="L107" s="7"/>
      <c r="M107" s="7"/>
      <c r="N107" s="8"/>
      <c r="O107" s="8"/>
      <c r="P107" s="25" t="e">
        <f>VLOOKUP(Q107,Sif_taksa!$B$2:$C$21,2,FALSE)</f>
        <v>#N/A</v>
      </c>
      <c r="Q107" s="26"/>
      <c r="R107" s="26"/>
    </row>
    <row r="108" spans="1:18" x14ac:dyDescent="0.25">
      <c r="A108" s="25">
        <v>100</v>
      </c>
      <c r="B108" s="25" t="e">
        <f>VLOOKUP(C108,Sif_prostori!$B$2:$C$4,2,FALSE)</f>
        <v>#N/A</v>
      </c>
      <c r="C108" s="7"/>
      <c r="D108" s="7"/>
      <c r="E108" s="7"/>
      <c r="F108" s="25" t="e">
        <f>VLOOKUP(G108,Sif_spol!$B$2:$C$3,2,FALSE)</f>
        <v>#N/A</v>
      </c>
      <c r="G108" s="7"/>
      <c r="H108" s="8"/>
      <c r="I108" s="25" t="e">
        <f>VLOOKUP(J108,Sif_drzave!$B$2:$C$252,2,FALSE)</f>
        <v>#N/A</v>
      </c>
      <c r="J108" s="7"/>
      <c r="K108" s="25" t="e">
        <f>VLOOKUP(L108,Sif_dokumenti!$B$2:$C$9,2,FALSE)</f>
        <v>#N/A</v>
      </c>
      <c r="L108" s="7"/>
      <c r="M108" s="7"/>
      <c r="N108" s="8"/>
      <c r="O108" s="8"/>
      <c r="P108" s="25" t="e">
        <f>VLOOKUP(Q108,Sif_taksa!$B$2:$C$21,2,FALSE)</f>
        <v>#N/A</v>
      </c>
      <c r="Q108" s="26"/>
      <c r="R108" s="26"/>
    </row>
  </sheetData>
  <dataConsolidate/>
  <mergeCells count="3">
    <mergeCell ref="D4:J4"/>
    <mergeCell ref="D5:J5"/>
    <mergeCell ref="D6:J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Napaka!" error="Vnesli ste napačno vrednost!" promptTitle="Izberi" prompt="Izberite kje boste taborili" xr:uid="{00000000-0002-0000-0000-000000000000}">
          <x14:formula1>
            <xm:f>Sif_prostori!$B$2:$B$4</xm:f>
          </x14:formula1>
          <xm:sqref>C9:C108</xm:sqref>
        </x14:dataValidation>
        <x14:dataValidation type="list" allowBlank="1" showErrorMessage="1" errorTitle="Napaka!" error="Vnesli ste napačen podatek!" xr:uid="{00000000-0002-0000-0000-000001000000}">
          <x14:formula1>
            <xm:f>Sif_drzave!$B$2:$B$252</xm:f>
          </x14:formula1>
          <xm:sqref>J9:J108</xm:sqref>
        </x14:dataValidation>
        <x14:dataValidation type="list" allowBlank="1" showErrorMessage="1" errorTitle="Napaka!" error="Vnesli ste napačen podatek!" xr:uid="{00000000-0002-0000-0000-000002000000}">
          <x14:formula1>
            <xm:f>Sif_dokumenti!$B$2:$B$9</xm:f>
          </x14:formula1>
          <xm:sqref>L9:L108</xm:sqref>
        </x14:dataValidation>
        <x14:dataValidation type="list" allowBlank="1" showInputMessage="1" showErrorMessage="1" errorTitle="Napaka!" error="Vnesli ste napačen podatek!" xr:uid="{00000000-0002-0000-0000-000003000000}">
          <x14:formula1>
            <xm:f>Sif_spol!$B$2:$B$3</xm:f>
          </x14:formula1>
          <xm:sqref>G9:G108</xm:sqref>
        </x14:dataValidation>
        <x14:dataValidation type="list" allowBlank="1" showErrorMessage="1" errorTitle="Napaka!" error="Vnesli ste napačno vrednost!" xr:uid="{F6A8C6ED-D40E-4322-8B46-825B945BDBCA}">
          <x14:formula1>
            <xm:f>Sif_taksa!$B$2:$B$21</xm:f>
          </x14:formula1>
          <xm:sqref>Q9:Q108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9</v>
      </c>
      <c r="B1" t="s">
        <v>27</v>
      </c>
      <c r="C1" t="s">
        <v>9</v>
      </c>
    </row>
    <row r="2" spans="1:3" x14ac:dyDescent="0.25">
      <c r="A2" t="s">
        <v>28</v>
      </c>
      <c r="B2" t="s">
        <v>29</v>
      </c>
      <c r="C2" t="s">
        <v>28</v>
      </c>
    </row>
    <row r="3" spans="1:3" x14ac:dyDescent="0.25">
      <c r="A3" t="s">
        <v>11</v>
      </c>
      <c r="B3" t="s">
        <v>30</v>
      </c>
      <c r="C3" t="s">
        <v>11</v>
      </c>
    </row>
  </sheetData>
  <sheetProtection algorithmName="SHA-512" hashValue="7Nf7AHFh1dtomsDs0BzBOrmE8vGbkSmlcB5sGxLJaNpfxve80uZ4WF+PW59QLC08YGJy+mILVhoTW+cGh2pqJg==" saltValue="kgFGFXC5MPL/+2Mx1DdiY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5" sqref="C5"/>
    </sheetView>
  </sheetViews>
  <sheetFormatPr defaultRowHeight="15" x14ac:dyDescent="0.25"/>
  <cols>
    <col min="1" max="1" width="7" bestFit="1" customWidth="1"/>
    <col min="2" max="2" width="35.140625" bestFit="1" customWidth="1"/>
  </cols>
  <sheetData>
    <row r="1" spans="1:3" ht="15.95" customHeight="1" x14ac:dyDescent="0.25">
      <c r="A1" s="3" t="s">
        <v>2</v>
      </c>
      <c r="B1" s="3" t="s">
        <v>3</v>
      </c>
      <c r="C1" s="3" t="s">
        <v>2</v>
      </c>
    </row>
    <row r="2" spans="1:3" ht="15.95" customHeight="1" x14ac:dyDescent="0.25">
      <c r="A2" s="4" t="s">
        <v>4</v>
      </c>
      <c r="B2" s="4" t="s">
        <v>5</v>
      </c>
      <c r="C2" s="4" t="s">
        <v>4</v>
      </c>
    </row>
    <row r="3" spans="1:3" ht="15.95" customHeight="1" x14ac:dyDescent="0.25">
      <c r="A3" s="4" t="s">
        <v>6</v>
      </c>
      <c r="B3" s="4" t="s">
        <v>1</v>
      </c>
      <c r="C3" s="4" t="s">
        <v>6</v>
      </c>
    </row>
    <row r="4" spans="1:3" ht="15.95" customHeight="1" x14ac:dyDescent="0.25">
      <c r="A4" s="4" t="s">
        <v>7</v>
      </c>
      <c r="B4" s="4" t="s">
        <v>8</v>
      </c>
      <c r="C4" s="4" t="s">
        <v>7</v>
      </c>
    </row>
    <row r="5" spans="1:3" x14ac:dyDescent="0.25">
      <c r="A5" s="13" t="s">
        <v>582</v>
      </c>
      <c r="B5" s="13" t="s">
        <v>582</v>
      </c>
      <c r="C5" s="13" t="s">
        <v>582</v>
      </c>
    </row>
  </sheetData>
  <sheetProtection algorithmName="SHA-512" hashValue="k0yWv9dVARoVyMcAi/Dp7HaCd/qwDtbuG8w5Iv1mW/WrxG+yo5n7Bnqxft39EqqBWEzC7Nmnt9yiY6LhcxPVPw==" saltValue="ofAXmBMdcfH22tDSTSjZK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25"/>
  <cols>
    <col min="1" max="1" width="5.42578125" bestFit="1" customWidth="1"/>
    <col min="2" max="2" width="34.85546875" bestFit="1" customWidth="1"/>
  </cols>
  <sheetData>
    <row r="1" spans="1:3" ht="15.95" customHeight="1" x14ac:dyDescent="0.25">
      <c r="A1" s="1" t="s">
        <v>9</v>
      </c>
      <c r="B1" s="1" t="s">
        <v>10</v>
      </c>
      <c r="C1" s="1" t="s">
        <v>9</v>
      </c>
    </row>
    <row r="2" spans="1:3" ht="15.95" customHeight="1" x14ac:dyDescent="0.25">
      <c r="A2" s="2" t="s">
        <v>11</v>
      </c>
      <c r="B2" s="2" t="s">
        <v>12</v>
      </c>
      <c r="C2" s="2" t="s">
        <v>11</v>
      </c>
    </row>
    <row r="3" spans="1:3" ht="15.95" customHeight="1" x14ac:dyDescent="0.25">
      <c r="A3" s="2" t="s">
        <v>13</v>
      </c>
      <c r="B3" s="2" t="s">
        <v>14</v>
      </c>
      <c r="C3" s="2" t="s">
        <v>13</v>
      </c>
    </row>
    <row r="4" spans="1:3" ht="15.95" customHeight="1" x14ac:dyDescent="0.25">
      <c r="A4" s="2" t="s">
        <v>15</v>
      </c>
      <c r="B4" s="2" t="s">
        <v>16</v>
      </c>
      <c r="C4" s="2" t="s">
        <v>15</v>
      </c>
    </row>
    <row r="5" spans="1:3" ht="15.95" customHeight="1" x14ac:dyDescent="0.25">
      <c r="A5" s="2" t="s">
        <v>17</v>
      </c>
      <c r="B5" s="2" t="s">
        <v>18</v>
      </c>
      <c r="C5" s="2" t="s">
        <v>17</v>
      </c>
    </row>
    <row r="6" spans="1:3" ht="15.95" customHeight="1" x14ac:dyDescent="0.25">
      <c r="A6" s="2" t="s">
        <v>19</v>
      </c>
      <c r="B6" s="2" t="s">
        <v>20</v>
      </c>
      <c r="C6" s="2" t="s">
        <v>19</v>
      </c>
    </row>
    <row r="7" spans="1:3" ht="15.95" customHeight="1" x14ac:dyDescent="0.25">
      <c r="A7" s="2" t="s">
        <v>21</v>
      </c>
      <c r="B7" s="2" t="s">
        <v>22</v>
      </c>
      <c r="C7" s="2" t="s">
        <v>21</v>
      </c>
    </row>
    <row r="8" spans="1:3" ht="15.95" customHeight="1" x14ac:dyDescent="0.25">
      <c r="A8" s="2" t="s">
        <v>23</v>
      </c>
      <c r="B8" s="2" t="s">
        <v>24</v>
      </c>
      <c r="C8" s="2" t="s">
        <v>23</v>
      </c>
    </row>
    <row r="9" spans="1:3" ht="15.95" customHeight="1" x14ac:dyDescent="0.25">
      <c r="A9" s="2" t="s">
        <v>25</v>
      </c>
      <c r="B9" s="2" t="s">
        <v>26</v>
      </c>
      <c r="C9" s="2" t="s">
        <v>25</v>
      </c>
    </row>
  </sheetData>
  <sheetProtection algorithmName="SHA-512" hashValue="aMK7J3Ii6UpHSxj3OF1yhxKrYPM9zj398LvRHST1xonmIRv2KEO/lFuqKMmrYto2UzTzphzcO18RSyDjXuRGrA==" saltValue="2ozMm0NWENn+/PaW2cUpl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2"/>
  <sheetViews>
    <sheetView workbookViewId="0"/>
  </sheetViews>
  <sheetFormatPr defaultRowHeight="15" x14ac:dyDescent="0.25"/>
  <cols>
    <col min="1" max="1" width="5.42578125" bestFit="1" customWidth="1"/>
    <col min="2" max="2" width="37.5703125" bestFit="1" customWidth="1"/>
    <col min="3" max="3" width="5.42578125" bestFit="1" customWidth="1"/>
  </cols>
  <sheetData>
    <row r="1" spans="1:3" ht="15.95" customHeight="1" x14ac:dyDescent="0.25">
      <c r="A1" s="5" t="s">
        <v>9</v>
      </c>
      <c r="B1" s="5" t="s">
        <v>10</v>
      </c>
      <c r="C1" s="5" t="s">
        <v>9</v>
      </c>
    </row>
    <row r="2" spans="1:3" ht="15.95" customHeight="1" x14ac:dyDescent="0.25">
      <c r="A2" s="6" t="s">
        <v>31</v>
      </c>
      <c r="B2" s="9" t="s">
        <v>339</v>
      </c>
      <c r="C2" s="6" t="s">
        <v>31</v>
      </c>
    </row>
    <row r="3" spans="1:3" ht="15.95" customHeight="1" x14ac:dyDescent="0.25">
      <c r="A3" s="6" t="s">
        <v>32</v>
      </c>
      <c r="B3" s="6" t="s">
        <v>340</v>
      </c>
      <c r="C3" s="6" t="s">
        <v>32</v>
      </c>
    </row>
    <row r="4" spans="1:3" ht="15.95" customHeight="1" x14ac:dyDescent="0.25">
      <c r="A4" s="6" t="s">
        <v>33</v>
      </c>
      <c r="B4" s="9" t="s">
        <v>341</v>
      </c>
      <c r="C4" s="6" t="s">
        <v>33</v>
      </c>
    </row>
    <row r="5" spans="1:3" ht="15.95" customHeight="1" x14ac:dyDescent="0.25">
      <c r="A5" s="6" t="s">
        <v>34</v>
      </c>
      <c r="B5" s="9" t="s">
        <v>342</v>
      </c>
      <c r="C5" s="6" t="s">
        <v>34</v>
      </c>
    </row>
    <row r="6" spans="1:3" ht="15.95" customHeight="1" x14ac:dyDescent="0.25">
      <c r="A6" s="6" t="s">
        <v>35</v>
      </c>
      <c r="B6" s="6" t="s">
        <v>343</v>
      </c>
      <c r="C6" s="6" t="s">
        <v>35</v>
      </c>
    </row>
    <row r="7" spans="1:3" ht="15.95" customHeight="1" x14ac:dyDescent="0.25">
      <c r="A7" s="6" t="s">
        <v>36</v>
      </c>
      <c r="B7" s="10" t="s">
        <v>344</v>
      </c>
      <c r="C7" s="6" t="s">
        <v>36</v>
      </c>
    </row>
    <row r="8" spans="1:3" ht="15.95" customHeight="1" x14ac:dyDescent="0.25">
      <c r="A8" s="6" t="s">
        <v>37</v>
      </c>
      <c r="B8" s="9" t="s">
        <v>345</v>
      </c>
      <c r="C8" s="6" t="s">
        <v>37</v>
      </c>
    </row>
    <row r="9" spans="1:3" ht="15.95" customHeight="1" x14ac:dyDescent="0.25">
      <c r="A9" s="6" t="s">
        <v>38</v>
      </c>
      <c r="B9" s="9" t="s">
        <v>39</v>
      </c>
      <c r="C9" s="6" t="s">
        <v>38</v>
      </c>
    </row>
    <row r="10" spans="1:3" ht="15.95" customHeight="1" x14ac:dyDescent="0.25">
      <c r="A10" s="6" t="s">
        <v>40</v>
      </c>
      <c r="B10" s="9" t="s">
        <v>346</v>
      </c>
      <c r="C10" s="6" t="s">
        <v>40</v>
      </c>
    </row>
    <row r="11" spans="1:3" ht="15.95" customHeight="1" x14ac:dyDescent="0.25">
      <c r="A11" s="6" t="s">
        <v>41</v>
      </c>
      <c r="B11" s="6" t="s">
        <v>42</v>
      </c>
      <c r="C11" s="6" t="s">
        <v>41</v>
      </c>
    </row>
    <row r="12" spans="1:3" ht="15.95" customHeight="1" x14ac:dyDescent="0.25">
      <c r="A12" s="6" t="s">
        <v>43</v>
      </c>
      <c r="B12" s="9" t="s">
        <v>347</v>
      </c>
      <c r="C12" s="6" t="s">
        <v>43</v>
      </c>
    </row>
    <row r="13" spans="1:3" ht="15.95" customHeight="1" x14ac:dyDescent="0.25">
      <c r="A13" s="6" t="s">
        <v>44</v>
      </c>
      <c r="B13" s="9" t="s">
        <v>45</v>
      </c>
      <c r="C13" s="6" t="s">
        <v>44</v>
      </c>
    </row>
    <row r="14" spans="1:3" ht="15.95" customHeight="1" x14ac:dyDescent="0.25">
      <c r="A14" s="6" t="s">
        <v>46</v>
      </c>
      <c r="B14" s="9" t="s">
        <v>348</v>
      </c>
      <c r="C14" s="6" t="s">
        <v>46</v>
      </c>
    </row>
    <row r="15" spans="1:3" ht="15.95" customHeight="1" x14ac:dyDescent="0.25">
      <c r="A15" s="6" t="s">
        <v>47</v>
      </c>
      <c r="B15" s="9" t="s">
        <v>48</v>
      </c>
      <c r="C15" s="6" t="s">
        <v>47</v>
      </c>
    </row>
    <row r="16" spans="1:3" ht="15.95" customHeight="1" x14ac:dyDescent="0.25">
      <c r="A16" s="6" t="s">
        <v>49</v>
      </c>
      <c r="B16" s="9" t="s">
        <v>349</v>
      </c>
      <c r="C16" s="6" t="s">
        <v>49</v>
      </c>
    </row>
    <row r="17" spans="1:3" ht="15.95" customHeight="1" x14ac:dyDescent="0.25">
      <c r="A17" s="6" t="s">
        <v>50</v>
      </c>
      <c r="B17" s="9" t="s">
        <v>350</v>
      </c>
      <c r="C17" s="6" t="s">
        <v>50</v>
      </c>
    </row>
    <row r="18" spans="1:3" ht="15.95" customHeight="1" x14ac:dyDescent="0.25">
      <c r="A18" s="6" t="s">
        <v>51</v>
      </c>
      <c r="B18" s="9" t="s">
        <v>351</v>
      </c>
      <c r="C18" s="6" t="s">
        <v>51</v>
      </c>
    </row>
    <row r="19" spans="1:3" ht="15.95" customHeight="1" x14ac:dyDescent="0.25">
      <c r="A19" s="6" t="s">
        <v>52</v>
      </c>
      <c r="B19" s="9" t="s">
        <v>352</v>
      </c>
      <c r="C19" s="6" t="s">
        <v>52</v>
      </c>
    </row>
    <row r="20" spans="1:3" ht="15.95" customHeight="1" x14ac:dyDescent="0.25">
      <c r="A20" s="6" t="s">
        <v>53</v>
      </c>
      <c r="B20" s="9" t="s">
        <v>353</v>
      </c>
      <c r="C20" s="6" t="s">
        <v>53</v>
      </c>
    </row>
    <row r="21" spans="1:3" ht="15.95" customHeight="1" x14ac:dyDescent="0.25">
      <c r="A21" s="6" t="s">
        <v>54</v>
      </c>
      <c r="B21" s="9" t="s">
        <v>354</v>
      </c>
      <c r="C21" s="6" t="s">
        <v>54</v>
      </c>
    </row>
    <row r="22" spans="1:3" ht="15.95" customHeight="1" x14ac:dyDescent="0.25">
      <c r="A22" s="6" t="s">
        <v>55</v>
      </c>
      <c r="B22" s="9" t="s">
        <v>56</v>
      </c>
      <c r="C22" s="6" t="s">
        <v>55</v>
      </c>
    </row>
    <row r="23" spans="1:3" ht="15.95" customHeight="1" x14ac:dyDescent="0.25">
      <c r="A23" s="6" t="s">
        <v>57</v>
      </c>
      <c r="B23" s="9" t="s">
        <v>355</v>
      </c>
      <c r="C23" s="6" t="s">
        <v>57</v>
      </c>
    </row>
    <row r="24" spans="1:3" ht="15.95" customHeight="1" x14ac:dyDescent="0.25">
      <c r="A24" s="6" t="s">
        <v>58</v>
      </c>
      <c r="B24" s="9" t="s">
        <v>59</v>
      </c>
      <c r="C24" s="6" t="s">
        <v>58</v>
      </c>
    </row>
    <row r="25" spans="1:3" ht="15.95" customHeight="1" x14ac:dyDescent="0.25">
      <c r="A25" s="6" t="s">
        <v>60</v>
      </c>
      <c r="B25" s="9" t="s">
        <v>356</v>
      </c>
      <c r="C25" s="6" t="s">
        <v>60</v>
      </c>
    </row>
    <row r="26" spans="1:3" ht="15.95" customHeight="1" x14ac:dyDescent="0.25">
      <c r="A26" s="6" t="s">
        <v>61</v>
      </c>
      <c r="B26" s="9" t="s">
        <v>62</v>
      </c>
      <c r="C26" s="6" t="s">
        <v>61</v>
      </c>
    </row>
    <row r="27" spans="1:3" ht="15.95" customHeight="1" x14ac:dyDescent="0.25">
      <c r="A27" s="6" t="s">
        <v>63</v>
      </c>
      <c r="B27" s="9" t="s">
        <v>357</v>
      </c>
      <c r="C27" s="6" t="s">
        <v>63</v>
      </c>
    </row>
    <row r="28" spans="1:3" ht="15.95" customHeight="1" x14ac:dyDescent="0.25">
      <c r="A28" s="6" t="s">
        <v>64</v>
      </c>
      <c r="B28" s="9" t="s">
        <v>358</v>
      </c>
      <c r="C28" s="6" t="s">
        <v>64</v>
      </c>
    </row>
    <row r="29" spans="1:3" ht="15.95" customHeight="1" x14ac:dyDescent="0.25">
      <c r="A29" s="6" t="s">
        <v>65</v>
      </c>
      <c r="B29" s="9" t="s">
        <v>359</v>
      </c>
      <c r="C29" s="6" t="s">
        <v>65</v>
      </c>
    </row>
    <row r="30" spans="1:3" ht="15.95" customHeight="1" x14ac:dyDescent="0.25">
      <c r="A30" s="6" t="s">
        <v>66</v>
      </c>
      <c r="B30" s="9" t="s">
        <v>360</v>
      </c>
      <c r="C30" s="6" t="s">
        <v>66</v>
      </c>
    </row>
    <row r="31" spans="1:3" ht="15.95" customHeight="1" x14ac:dyDescent="0.25">
      <c r="A31" s="6" t="s">
        <v>67</v>
      </c>
      <c r="B31" s="9" t="s">
        <v>361</v>
      </c>
      <c r="C31" s="6" t="s">
        <v>67</v>
      </c>
    </row>
    <row r="32" spans="1:3" ht="15.95" customHeight="1" x14ac:dyDescent="0.25">
      <c r="A32" s="6" t="s">
        <v>68</v>
      </c>
      <c r="B32" s="10" t="s">
        <v>362</v>
      </c>
      <c r="C32" s="6" t="s">
        <v>68</v>
      </c>
    </row>
    <row r="33" spans="1:3" ht="15.95" customHeight="1" x14ac:dyDescent="0.25">
      <c r="A33" s="6" t="s">
        <v>69</v>
      </c>
      <c r="B33" s="10" t="s">
        <v>363</v>
      </c>
      <c r="C33" s="6" t="s">
        <v>69</v>
      </c>
    </row>
    <row r="34" spans="1:3" ht="15.95" customHeight="1" x14ac:dyDescent="0.25">
      <c r="A34" s="6" t="s">
        <v>70</v>
      </c>
      <c r="B34" s="9" t="s">
        <v>364</v>
      </c>
      <c r="C34" s="6" t="s">
        <v>70</v>
      </c>
    </row>
    <row r="35" spans="1:3" ht="15.95" customHeight="1" x14ac:dyDescent="0.25">
      <c r="A35" s="6" t="s">
        <v>71</v>
      </c>
      <c r="B35" s="10" t="s">
        <v>365</v>
      </c>
      <c r="C35" s="6" t="s">
        <v>71</v>
      </c>
    </row>
    <row r="36" spans="1:3" ht="15.95" customHeight="1" x14ac:dyDescent="0.25">
      <c r="A36" s="6" t="s">
        <v>72</v>
      </c>
      <c r="B36" s="10" t="s">
        <v>366</v>
      </c>
      <c r="C36" s="6" t="s">
        <v>72</v>
      </c>
    </row>
    <row r="37" spans="1:3" ht="15.95" customHeight="1" x14ac:dyDescent="0.25">
      <c r="A37" s="6" t="s">
        <v>73</v>
      </c>
      <c r="B37" s="9" t="s">
        <v>367</v>
      </c>
      <c r="C37" s="6" t="s">
        <v>73</v>
      </c>
    </row>
    <row r="38" spans="1:3" ht="15.95" customHeight="1" x14ac:dyDescent="0.25">
      <c r="A38" s="6" t="s">
        <v>74</v>
      </c>
      <c r="B38" s="9" t="s">
        <v>75</v>
      </c>
      <c r="C38" s="6" t="s">
        <v>74</v>
      </c>
    </row>
    <row r="39" spans="1:3" ht="15.95" customHeight="1" x14ac:dyDescent="0.25">
      <c r="A39" s="6" t="s">
        <v>76</v>
      </c>
      <c r="B39" s="9" t="s">
        <v>77</v>
      </c>
      <c r="C39" s="6" t="s">
        <v>76</v>
      </c>
    </row>
    <row r="40" spans="1:3" ht="15.95" customHeight="1" x14ac:dyDescent="0.25">
      <c r="A40" s="6" t="s">
        <v>78</v>
      </c>
      <c r="B40" s="9" t="s">
        <v>368</v>
      </c>
      <c r="C40" s="6" t="s">
        <v>78</v>
      </c>
    </row>
    <row r="41" spans="1:3" ht="15.95" customHeight="1" x14ac:dyDescent="0.25">
      <c r="A41" s="6" t="s">
        <v>79</v>
      </c>
      <c r="B41" s="9" t="s">
        <v>369</v>
      </c>
      <c r="C41" s="6" t="s">
        <v>79</v>
      </c>
    </row>
    <row r="42" spans="1:3" ht="15.95" customHeight="1" x14ac:dyDescent="0.25">
      <c r="A42" s="6" t="s">
        <v>80</v>
      </c>
      <c r="B42" s="10" t="s">
        <v>370</v>
      </c>
      <c r="C42" s="6" t="s">
        <v>80</v>
      </c>
    </row>
    <row r="43" spans="1:3" ht="15.95" customHeight="1" x14ac:dyDescent="0.25">
      <c r="A43" s="6" t="s">
        <v>81</v>
      </c>
      <c r="B43" s="9" t="s">
        <v>371</v>
      </c>
      <c r="C43" s="6" t="s">
        <v>81</v>
      </c>
    </row>
    <row r="44" spans="1:3" ht="15.95" customHeight="1" x14ac:dyDescent="0.25">
      <c r="A44" s="6" t="s">
        <v>82</v>
      </c>
      <c r="B44" s="9" t="s">
        <v>372</v>
      </c>
      <c r="C44" s="6" t="s">
        <v>82</v>
      </c>
    </row>
    <row r="45" spans="1:3" ht="15.95" customHeight="1" x14ac:dyDescent="0.25">
      <c r="A45" s="6" t="s">
        <v>83</v>
      </c>
      <c r="B45" s="9" t="s">
        <v>373</v>
      </c>
      <c r="C45" s="6" t="s">
        <v>83</v>
      </c>
    </row>
    <row r="46" spans="1:3" ht="15.95" customHeight="1" x14ac:dyDescent="0.25">
      <c r="A46" s="6" t="s">
        <v>84</v>
      </c>
      <c r="B46" s="9" t="s">
        <v>374</v>
      </c>
      <c r="C46" s="6" t="s">
        <v>84</v>
      </c>
    </row>
    <row r="47" spans="1:3" ht="15.95" customHeight="1" x14ac:dyDescent="0.25">
      <c r="A47" s="6" t="s">
        <v>85</v>
      </c>
      <c r="B47" s="10" t="s">
        <v>375</v>
      </c>
      <c r="C47" s="6" t="s">
        <v>85</v>
      </c>
    </row>
    <row r="48" spans="1:3" ht="15.95" customHeight="1" x14ac:dyDescent="0.25">
      <c r="A48" s="6" t="s">
        <v>86</v>
      </c>
      <c r="B48" s="9" t="s">
        <v>376</v>
      </c>
      <c r="C48" s="6" t="s">
        <v>86</v>
      </c>
    </row>
    <row r="49" spans="1:3" ht="15.95" customHeight="1" x14ac:dyDescent="0.25">
      <c r="A49" s="6" t="s">
        <v>87</v>
      </c>
      <c r="B49" s="10" t="s">
        <v>377</v>
      </c>
      <c r="C49" s="6" t="s">
        <v>87</v>
      </c>
    </row>
    <row r="50" spans="1:3" ht="15.95" customHeight="1" x14ac:dyDescent="0.25">
      <c r="A50" s="6" t="s">
        <v>88</v>
      </c>
      <c r="B50" s="10" t="s">
        <v>378</v>
      </c>
      <c r="C50" s="6" t="s">
        <v>88</v>
      </c>
    </row>
    <row r="51" spans="1:3" ht="15.95" customHeight="1" x14ac:dyDescent="0.25">
      <c r="A51" s="6" t="s">
        <v>89</v>
      </c>
      <c r="B51" s="9" t="s">
        <v>379</v>
      </c>
      <c r="C51" s="6" t="s">
        <v>89</v>
      </c>
    </row>
    <row r="52" spans="1:3" ht="15.95" customHeight="1" x14ac:dyDescent="0.25">
      <c r="A52" s="6" t="s">
        <v>90</v>
      </c>
      <c r="B52" s="10" t="s">
        <v>380</v>
      </c>
      <c r="C52" s="6" t="s">
        <v>90</v>
      </c>
    </row>
    <row r="53" spans="1:3" ht="15.95" customHeight="1" x14ac:dyDescent="0.25">
      <c r="A53" s="6" t="s">
        <v>91</v>
      </c>
      <c r="B53" s="10" t="s">
        <v>381</v>
      </c>
      <c r="C53" s="6" t="s">
        <v>91</v>
      </c>
    </row>
    <row r="54" spans="1:3" ht="15.95" customHeight="1" x14ac:dyDescent="0.25">
      <c r="A54" s="6" t="s">
        <v>92</v>
      </c>
      <c r="B54" s="10" t="s">
        <v>382</v>
      </c>
      <c r="C54" s="6" t="s">
        <v>92</v>
      </c>
    </row>
    <row r="55" spans="1:3" ht="15.95" customHeight="1" x14ac:dyDescent="0.25">
      <c r="A55" s="6" t="s">
        <v>93</v>
      </c>
      <c r="B55" s="10" t="s">
        <v>383</v>
      </c>
      <c r="C55" s="6" t="s">
        <v>93</v>
      </c>
    </row>
    <row r="56" spans="1:3" ht="15.95" customHeight="1" x14ac:dyDescent="0.25">
      <c r="A56" s="6" t="s">
        <v>94</v>
      </c>
      <c r="B56" s="9" t="s">
        <v>384</v>
      </c>
      <c r="C56" s="6" t="s">
        <v>94</v>
      </c>
    </row>
    <row r="57" spans="1:3" ht="15.95" customHeight="1" x14ac:dyDescent="0.25">
      <c r="A57" s="6" t="s">
        <v>95</v>
      </c>
      <c r="B57" s="9" t="s">
        <v>385</v>
      </c>
      <c r="C57" s="6" t="s">
        <v>95</v>
      </c>
    </row>
    <row r="58" spans="1:3" ht="15.95" customHeight="1" x14ac:dyDescent="0.25">
      <c r="A58" s="6" t="s">
        <v>96</v>
      </c>
      <c r="B58" s="10" t="s">
        <v>386</v>
      </c>
      <c r="C58" s="6" t="s">
        <v>96</v>
      </c>
    </row>
    <row r="59" spans="1:3" ht="15.95" customHeight="1" x14ac:dyDescent="0.25">
      <c r="A59" s="6" t="s">
        <v>97</v>
      </c>
      <c r="B59" s="6" t="s">
        <v>98</v>
      </c>
      <c r="C59" s="6" t="s">
        <v>97</v>
      </c>
    </row>
    <row r="60" spans="1:3" ht="15.95" customHeight="1" x14ac:dyDescent="0.25">
      <c r="A60" s="6" t="s">
        <v>99</v>
      </c>
      <c r="B60" s="10" t="s">
        <v>387</v>
      </c>
      <c r="C60" s="6" t="s">
        <v>99</v>
      </c>
    </row>
    <row r="61" spans="1:3" ht="15.95" customHeight="1" x14ac:dyDescent="0.25">
      <c r="A61" s="6" t="s">
        <v>100</v>
      </c>
      <c r="B61" s="6" t="s">
        <v>101</v>
      </c>
      <c r="C61" s="6" t="s">
        <v>100</v>
      </c>
    </row>
    <row r="62" spans="1:3" ht="15.95" customHeight="1" x14ac:dyDescent="0.25">
      <c r="A62" s="6" t="s">
        <v>102</v>
      </c>
      <c r="B62" s="10" t="s">
        <v>388</v>
      </c>
      <c r="C62" s="6" t="s">
        <v>102</v>
      </c>
    </row>
    <row r="63" spans="1:3" ht="15.95" customHeight="1" x14ac:dyDescent="0.25">
      <c r="A63" s="6" t="s">
        <v>103</v>
      </c>
      <c r="B63" s="10" t="s">
        <v>389</v>
      </c>
      <c r="C63" s="6" t="s">
        <v>103</v>
      </c>
    </row>
    <row r="64" spans="1:3" ht="15.95" customHeight="1" x14ac:dyDescent="0.25">
      <c r="A64" s="6" t="s">
        <v>104</v>
      </c>
      <c r="B64" s="6" t="s">
        <v>390</v>
      </c>
      <c r="C64" s="6" t="s">
        <v>104</v>
      </c>
    </row>
    <row r="65" spans="1:3" ht="15.95" customHeight="1" x14ac:dyDescent="0.25">
      <c r="A65" s="6" t="s">
        <v>105</v>
      </c>
      <c r="B65" s="6" t="s">
        <v>391</v>
      </c>
      <c r="C65" s="6" t="s">
        <v>105</v>
      </c>
    </row>
    <row r="66" spans="1:3" ht="15.95" customHeight="1" x14ac:dyDescent="0.25">
      <c r="A66" s="6" t="s">
        <v>106</v>
      </c>
      <c r="B66" s="10" t="s">
        <v>392</v>
      </c>
      <c r="C66" s="6" t="s">
        <v>106</v>
      </c>
    </row>
    <row r="67" spans="1:3" ht="15.95" customHeight="1" x14ac:dyDescent="0.25">
      <c r="A67" s="6" t="s">
        <v>107</v>
      </c>
      <c r="B67" s="10" t="s">
        <v>393</v>
      </c>
      <c r="C67" s="6" t="s">
        <v>107</v>
      </c>
    </row>
    <row r="68" spans="1:3" ht="15.95" customHeight="1" x14ac:dyDescent="0.25">
      <c r="A68" s="6" t="s">
        <v>108</v>
      </c>
      <c r="B68" s="10" t="s">
        <v>394</v>
      </c>
      <c r="C68" s="6" t="s">
        <v>108</v>
      </c>
    </row>
    <row r="69" spans="1:3" ht="15.95" customHeight="1" x14ac:dyDescent="0.25">
      <c r="A69" s="6" t="s">
        <v>109</v>
      </c>
      <c r="B69" s="9" t="s">
        <v>110</v>
      </c>
      <c r="C69" s="6" t="s">
        <v>109</v>
      </c>
    </row>
    <row r="70" spans="1:3" ht="15.95" customHeight="1" x14ac:dyDescent="0.25">
      <c r="A70" s="6" t="s">
        <v>111</v>
      </c>
      <c r="B70" s="9" t="s">
        <v>395</v>
      </c>
      <c r="C70" s="6" t="s">
        <v>111</v>
      </c>
    </row>
    <row r="71" spans="1:3" ht="15.95" customHeight="1" x14ac:dyDescent="0.25">
      <c r="A71" s="6" t="s">
        <v>112</v>
      </c>
      <c r="B71" s="9" t="s">
        <v>396</v>
      </c>
      <c r="C71" s="6" t="s">
        <v>112</v>
      </c>
    </row>
    <row r="72" spans="1:3" ht="15.95" customHeight="1" x14ac:dyDescent="0.25">
      <c r="A72" s="6" t="s">
        <v>113</v>
      </c>
      <c r="B72" s="6" t="s">
        <v>114</v>
      </c>
      <c r="C72" s="6" t="s">
        <v>113</v>
      </c>
    </row>
    <row r="73" spans="1:3" ht="15.95" customHeight="1" x14ac:dyDescent="0.25">
      <c r="A73" s="6" t="s">
        <v>115</v>
      </c>
      <c r="B73" s="9" t="s">
        <v>397</v>
      </c>
      <c r="C73" s="6" t="s">
        <v>115</v>
      </c>
    </row>
    <row r="74" spans="1:3" ht="15.95" customHeight="1" x14ac:dyDescent="0.25">
      <c r="A74" s="6" t="s">
        <v>116</v>
      </c>
      <c r="B74" s="9" t="s">
        <v>117</v>
      </c>
      <c r="C74" s="6" t="s">
        <v>116</v>
      </c>
    </row>
    <row r="75" spans="1:3" ht="15.95" customHeight="1" x14ac:dyDescent="0.25">
      <c r="A75" s="6" t="s">
        <v>118</v>
      </c>
      <c r="B75" s="9" t="s">
        <v>398</v>
      </c>
      <c r="C75" s="6" t="s">
        <v>118</v>
      </c>
    </row>
    <row r="76" spans="1:3" ht="15.95" customHeight="1" x14ac:dyDescent="0.25">
      <c r="A76" s="6" t="s">
        <v>119</v>
      </c>
      <c r="B76" s="9" t="s">
        <v>399</v>
      </c>
      <c r="C76" s="6" t="s">
        <v>119</v>
      </c>
    </row>
    <row r="77" spans="1:3" ht="15.95" customHeight="1" x14ac:dyDescent="0.25">
      <c r="A77" s="6" t="s">
        <v>120</v>
      </c>
      <c r="B77" s="6" t="s">
        <v>121</v>
      </c>
      <c r="C77" s="6" t="s">
        <v>120</v>
      </c>
    </row>
    <row r="78" spans="1:3" ht="15.95" customHeight="1" x14ac:dyDescent="0.25">
      <c r="A78" s="6" t="s">
        <v>122</v>
      </c>
      <c r="B78" s="9" t="s">
        <v>123</v>
      </c>
      <c r="C78" s="6" t="s">
        <v>122</v>
      </c>
    </row>
    <row r="79" spans="1:3" ht="15.95" customHeight="1" x14ac:dyDescent="0.25">
      <c r="A79" s="6" t="s">
        <v>124</v>
      </c>
      <c r="B79" s="6" t="s">
        <v>400</v>
      </c>
      <c r="C79" s="6" t="s">
        <v>124</v>
      </c>
    </row>
    <row r="80" spans="1:3" ht="15.95" customHeight="1" x14ac:dyDescent="0.25">
      <c r="A80" s="6" t="s">
        <v>125</v>
      </c>
      <c r="B80" s="9" t="s">
        <v>401</v>
      </c>
      <c r="C80" s="6" t="s">
        <v>125</v>
      </c>
    </row>
    <row r="81" spans="1:3" ht="15.95" customHeight="1" x14ac:dyDescent="0.25">
      <c r="A81" s="6" t="s">
        <v>126</v>
      </c>
      <c r="B81" s="9" t="s">
        <v>402</v>
      </c>
      <c r="C81" s="6" t="s">
        <v>126</v>
      </c>
    </row>
    <row r="82" spans="1:3" ht="15.95" customHeight="1" x14ac:dyDescent="0.25">
      <c r="A82" s="6" t="s">
        <v>127</v>
      </c>
      <c r="B82" s="9" t="s">
        <v>403</v>
      </c>
      <c r="C82" s="6" t="s">
        <v>127</v>
      </c>
    </row>
    <row r="83" spans="1:3" ht="15.95" customHeight="1" x14ac:dyDescent="0.25">
      <c r="A83" s="6" t="s">
        <v>128</v>
      </c>
      <c r="B83" s="9" t="s">
        <v>129</v>
      </c>
      <c r="C83" s="6" t="s">
        <v>128</v>
      </c>
    </row>
    <row r="84" spans="1:3" ht="15.95" customHeight="1" x14ac:dyDescent="0.25">
      <c r="A84" s="6" t="s">
        <v>130</v>
      </c>
      <c r="B84" s="9" t="s">
        <v>131</v>
      </c>
      <c r="C84" s="6" t="s">
        <v>130</v>
      </c>
    </row>
    <row r="85" spans="1:3" ht="15.95" customHeight="1" x14ac:dyDescent="0.25">
      <c r="A85" s="6" t="s">
        <v>132</v>
      </c>
      <c r="B85" s="9" t="s">
        <v>133</v>
      </c>
      <c r="C85" s="6" t="s">
        <v>132</v>
      </c>
    </row>
    <row r="86" spans="1:3" ht="15.95" customHeight="1" x14ac:dyDescent="0.25">
      <c r="A86" s="6" t="s">
        <v>134</v>
      </c>
      <c r="B86" s="9" t="s">
        <v>404</v>
      </c>
      <c r="C86" s="6" t="s">
        <v>134</v>
      </c>
    </row>
    <row r="87" spans="1:3" ht="15.95" customHeight="1" x14ac:dyDescent="0.25">
      <c r="A87" s="6" t="s">
        <v>135</v>
      </c>
      <c r="B87" s="9" t="s">
        <v>405</v>
      </c>
      <c r="C87" s="6" t="s">
        <v>135</v>
      </c>
    </row>
    <row r="88" spans="1:3" ht="15.95" customHeight="1" x14ac:dyDescent="0.25">
      <c r="A88" s="6" t="s">
        <v>0</v>
      </c>
      <c r="B88" s="10" t="s">
        <v>406</v>
      </c>
      <c r="C88" s="6" t="s">
        <v>0</v>
      </c>
    </row>
    <row r="89" spans="1:3" ht="15.95" customHeight="1" x14ac:dyDescent="0.25">
      <c r="A89" s="6" t="s">
        <v>136</v>
      </c>
      <c r="B89" s="10" t="s">
        <v>407</v>
      </c>
      <c r="C89" s="6" t="s">
        <v>136</v>
      </c>
    </row>
    <row r="90" spans="1:3" ht="15.95" customHeight="1" x14ac:dyDescent="0.25">
      <c r="A90" s="6" t="s">
        <v>137</v>
      </c>
      <c r="B90" s="6" t="s">
        <v>138</v>
      </c>
      <c r="C90" s="6" t="s">
        <v>137</v>
      </c>
    </row>
    <row r="91" spans="1:3" ht="15.95" customHeight="1" x14ac:dyDescent="0.25">
      <c r="A91" s="6" t="s">
        <v>139</v>
      </c>
      <c r="B91" s="10" t="s">
        <v>408</v>
      </c>
      <c r="C91" s="6" t="s">
        <v>139</v>
      </c>
    </row>
    <row r="92" spans="1:3" ht="15.95" customHeight="1" x14ac:dyDescent="0.25">
      <c r="A92" s="6" t="s">
        <v>140</v>
      </c>
      <c r="B92" s="10" t="s">
        <v>409</v>
      </c>
      <c r="C92" s="6" t="s">
        <v>140</v>
      </c>
    </row>
    <row r="93" spans="1:3" ht="15.95" customHeight="1" x14ac:dyDescent="0.25">
      <c r="A93" s="6" t="s">
        <v>141</v>
      </c>
      <c r="B93" s="10" t="s">
        <v>410</v>
      </c>
      <c r="C93" s="6" t="s">
        <v>141</v>
      </c>
    </row>
    <row r="94" spans="1:3" ht="15.95" customHeight="1" x14ac:dyDescent="0.25">
      <c r="A94" s="6" t="s">
        <v>142</v>
      </c>
      <c r="B94" s="10" t="s">
        <v>411</v>
      </c>
      <c r="C94" s="6" t="s">
        <v>142</v>
      </c>
    </row>
    <row r="95" spans="1:3" ht="15.95" customHeight="1" x14ac:dyDescent="0.25">
      <c r="A95" s="6" t="s">
        <v>143</v>
      </c>
      <c r="B95" s="9" t="s">
        <v>412</v>
      </c>
      <c r="C95" s="6" t="s">
        <v>143</v>
      </c>
    </row>
    <row r="96" spans="1:3" ht="15.95" customHeight="1" x14ac:dyDescent="0.25">
      <c r="A96" s="6" t="s">
        <v>144</v>
      </c>
      <c r="B96" s="9" t="s">
        <v>413</v>
      </c>
      <c r="C96" s="6" t="s">
        <v>144</v>
      </c>
    </row>
    <row r="97" spans="1:3" ht="15.95" customHeight="1" x14ac:dyDescent="0.25">
      <c r="A97" s="6" t="s">
        <v>145</v>
      </c>
      <c r="B97" s="10" t="s">
        <v>414</v>
      </c>
      <c r="C97" s="6" t="s">
        <v>145</v>
      </c>
    </row>
    <row r="98" spans="1:3" ht="15.95" customHeight="1" x14ac:dyDescent="0.25">
      <c r="A98" s="6" t="s">
        <v>146</v>
      </c>
      <c r="B98" s="10" t="s">
        <v>415</v>
      </c>
      <c r="C98" s="6" t="s">
        <v>146</v>
      </c>
    </row>
    <row r="99" spans="1:3" ht="15.95" customHeight="1" x14ac:dyDescent="0.25">
      <c r="A99" s="6" t="s">
        <v>147</v>
      </c>
      <c r="B99" s="10" t="s">
        <v>416</v>
      </c>
      <c r="C99" s="6" t="s">
        <v>147</v>
      </c>
    </row>
    <row r="100" spans="1:3" ht="15.95" customHeight="1" x14ac:dyDescent="0.25">
      <c r="A100" s="6" t="s">
        <v>148</v>
      </c>
      <c r="B100" s="10" t="s">
        <v>417</v>
      </c>
      <c r="C100" s="6" t="s">
        <v>148</v>
      </c>
    </row>
    <row r="101" spans="1:3" ht="15.95" customHeight="1" x14ac:dyDescent="0.25">
      <c r="A101" s="6" t="s">
        <v>149</v>
      </c>
      <c r="B101" s="9" t="s">
        <v>418</v>
      </c>
      <c r="C101" s="6" t="s">
        <v>149</v>
      </c>
    </row>
    <row r="102" spans="1:3" ht="15.95" customHeight="1" x14ac:dyDescent="0.25">
      <c r="A102" s="6" t="s">
        <v>150</v>
      </c>
      <c r="B102" s="10" t="s">
        <v>419</v>
      </c>
      <c r="C102" s="6" t="s">
        <v>150</v>
      </c>
    </row>
    <row r="103" spans="1:3" ht="15.95" customHeight="1" x14ac:dyDescent="0.25">
      <c r="A103" s="6" t="s">
        <v>151</v>
      </c>
      <c r="B103" s="6" t="s">
        <v>420</v>
      </c>
      <c r="C103" s="6" t="s">
        <v>151</v>
      </c>
    </row>
    <row r="104" spans="1:3" ht="15.95" customHeight="1" x14ac:dyDescent="0.25">
      <c r="A104" s="6" t="s">
        <v>152</v>
      </c>
      <c r="B104" s="10" t="s">
        <v>421</v>
      </c>
      <c r="C104" s="6" t="s">
        <v>152</v>
      </c>
    </row>
    <row r="105" spans="1:3" ht="15.95" customHeight="1" x14ac:dyDescent="0.25">
      <c r="A105" s="6" t="s">
        <v>153</v>
      </c>
      <c r="B105" s="9" t="s">
        <v>422</v>
      </c>
      <c r="C105" s="6" t="s">
        <v>153</v>
      </c>
    </row>
    <row r="106" spans="1:3" ht="15.95" customHeight="1" x14ac:dyDescent="0.25">
      <c r="A106" s="6" t="s">
        <v>154</v>
      </c>
      <c r="B106" t="s">
        <v>423</v>
      </c>
      <c r="C106" s="6" t="s">
        <v>154</v>
      </c>
    </row>
    <row r="107" spans="1:3" ht="15.95" customHeight="1" x14ac:dyDescent="0.25">
      <c r="A107" s="6" t="s">
        <v>155</v>
      </c>
      <c r="B107" s="9" t="s">
        <v>424</v>
      </c>
      <c r="C107" s="6" t="s">
        <v>155</v>
      </c>
    </row>
    <row r="108" spans="1:3" ht="15.95" customHeight="1" x14ac:dyDescent="0.25">
      <c r="A108" s="6" t="s">
        <v>156</v>
      </c>
      <c r="B108" s="9" t="s">
        <v>425</v>
      </c>
      <c r="C108" s="6" t="s">
        <v>156</v>
      </c>
    </row>
    <row r="109" spans="1:3" ht="15.95" customHeight="1" x14ac:dyDescent="0.25">
      <c r="A109" s="6" t="s">
        <v>157</v>
      </c>
      <c r="B109" s="9" t="s">
        <v>426</v>
      </c>
      <c r="C109" s="6" t="s">
        <v>157</v>
      </c>
    </row>
    <row r="110" spans="1:3" ht="15.95" customHeight="1" x14ac:dyDescent="0.25">
      <c r="A110" s="6" t="s">
        <v>158</v>
      </c>
      <c r="B110" s="9" t="s">
        <v>427</v>
      </c>
      <c r="C110" s="6" t="s">
        <v>158</v>
      </c>
    </row>
    <row r="111" spans="1:3" ht="15.95" customHeight="1" x14ac:dyDescent="0.25">
      <c r="A111" s="6" t="s">
        <v>159</v>
      </c>
      <c r="B111" t="s">
        <v>428</v>
      </c>
      <c r="C111" s="6" t="s">
        <v>159</v>
      </c>
    </row>
    <row r="112" spans="1:3" ht="15.95" customHeight="1" x14ac:dyDescent="0.25">
      <c r="A112" s="6" t="s">
        <v>160</v>
      </c>
      <c r="B112" s="6" t="s">
        <v>161</v>
      </c>
      <c r="C112" s="6" t="s">
        <v>160</v>
      </c>
    </row>
    <row r="113" spans="1:3" ht="15.95" customHeight="1" x14ac:dyDescent="0.25">
      <c r="A113" s="6" t="s">
        <v>162</v>
      </c>
      <c r="B113" s="9" t="s">
        <v>429</v>
      </c>
      <c r="C113" s="6" t="s">
        <v>162</v>
      </c>
    </row>
    <row r="114" spans="1:3" ht="15.95" customHeight="1" x14ac:dyDescent="0.25">
      <c r="A114" s="6" t="s">
        <v>163</v>
      </c>
      <c r="B114" t="s">
        <v>430</v>
      </c>
      <c r="C114" s="6" t="s">
        <v>163</v>
      </c>
    </row>
    <row r="115" spans="1:3" ht="15.95" customHeight="1" x14ac:dyDescent="0.25">
      <c r="A115" s="6" t="s">
        <v>164</v>
      </c>
      <c r="B115" s="9" t="s">
        <v>431</v>
      </c>
      <c r="C115" s="6" t="s">
        <v>164</v>
      </c>
    </row>
    <row r="116" spans="1:3" ht="15.95" customHeight="1" x14ac:dyDescent="0.25">
      <c r="A116" s="6" t="s">
        <v>165</v>
      </c>
      <c r="B116" s="6" t="s">
        <v>166</v>
      </c>
      <c r="C116" s="6" t="s">
        <v>165</v>
      </c>
    </row>
    <row r="117" spans="1:3" ht="15.95" customHeight="1" x14ac:dyDescent="0.25">
      <c r="A117" s="6" t="s">
        <v>167</v>
      </c>
      <c r="B117" t="s">
        <v>432</v>
      </c>
      <c r="C117" s="6" t="s">
        <v>167</v>
      </c>
    </row>
    <row r="118" spans="1:3" ht="15.95" customHeight="1" x14ac:dyDescent="0.25">
      <c r="A118" s="6" t="s">
        <v>168</v>
      </c>
      <c r="B118" s="6" t="s">
        <v>169</v>
      </c>
      <c r="C118" s="6" t="s">
        <v>168</v>
      </c>
    </row>
    <row r="119" spans="1:3" ht="15.95" customHeight="1" x14ac:dyDescent="0.25">
      <c r="A119" s="6" t="s">
        <v>170</v>
      </c>
      <c r="B119" s="9" t="s">
        <v>433</v>
      </c>
      <c r="C119" s="6" t="s">
        <v>170</v>
      </c>
    </row>
    <row r="120" spans="1:3" ht="15.95" customHeight="1" x14ac:dyDescent="0.25">
      <c r="A120" s="6" t="s">
        <v>171</v>
      </c>
      <c r="B120" s="9" t="s">
        <v>434</v>
      </c>
      <c r="C120" s="6" t="s">
        <v>171</v>
      </c>
    </row>
    <row r="121" spans="1:3" ht="15.95" customHeight="1" x14ac:dyDescent="0.25">
      <c r="A121" s="6" t="s">
        <v>172</v>
      </c>
      <c r="B121" s="9" t="s">
        <v>435</v>
      </c>
      <c r="C121" s="6" t="s">
        <v>172</v>
      </c>
    </row>
    <row r="122" spans="1:3" ht="15.95" customHeight="1" x14ac:dyDescent="0.25">
      <c r="A122" s="6" t="s">
        <v>173</v>
      </c>
      <c r="B122" t="s">
        <v>436</v>
      </c>
      <c r="C122" s="6" t="s">
        <v>173</v>
      </c>
    </row>
    <row r="123" spans="1:3" ht="15.95" customHeight="1" x14ac:dyDescent="0.25">
      <c r="A123" s="6" t="s">
        <v>174</v>
      </c>
      <c r="B123" s="9" t="s">
        <v>175</v>
      </c>
      <c r="C123" s="6" t="s">
        <v>174</v>
      </c>
    </row>
    <row r="124" spans="1:3" ht="15.95" customHeight="1" x14ac:dyDescent="0.25">
      <c r="A124" s="6" t="s">
        <v>176</v>
      </c>
      <c r="B124" s="9" t="s">
        <v>437</v>
      </c>
      <c r="C124" s="6" t="s">
        <v>176</v>
      </c>
    </row>
    <row r="125" spans="1:3" ht="15.95" customHeight="1" x14ac:dyDescent="0.25">
      <c r="A125" s="6" t="s">
        <v>177</v>
      </c>
      <c r="B125" s="9" t="s">
        <v>438</v>
      </c>
      <c r="C125" s="6" t="s">
        <v>177</v>
      </c>
    </row>
    <row r="126" spans="1:3" ht="15.95" customHeight="1" x14ac:dyDescent="0.25">
      <c r="A126" s="6" t="s">
        <v>178</v>
      </c>
      <c r="B126" s="10" t="s">
        <v>179</v>
      </c>
      <c r="C126" s="6" t="s">
        <v>178</v>
      </c>
    </row>
    <row r="127" spans="1:3" ht="15.95" customHeight="1" x14ac:dyDescent="0.25">
      <c r="A127" s="6" t="s">
        <v>180</v>
      </c>
      <c r="B127" s="9" t="s">
        <v>439</v>
      </c>
      <c r="C127" s="6" t="s">
        <v>180</v>
      </c>
    </row>
    <row r="128" spans="1:3" ht="15.95" customHeight="1" x14ac:dyDescent="0.25">
      <c r="A128" s="6" t="s">
        <v>181</v>
      </c>
      <c r="B128" s="9" t="s">
        <v>440</v>
      </c>
      <c r="C128" s="6" t="s">
        <v>181</v>
      </c>
    </row>
    <row r="129" spans="1:3" ht="15.95" customHeight="1" x14ac:dyDescent="0.25">
      <c r="A129" s="6" t="s">
        <v>182</v>
      </c>
      <c r="B129" s="9" t="s">
        <v>441</v>
      </c>
      <c r="C129" s="6" t="s">
        <v>182</v>
      </c>
    </row>
    <row r="130" spans="1:3" ht="15.95" customHeight="1" x14ac:dyDescent="0.25">
      <c r="A130" s="6" t="s">
        <v>183</v>
      </c>
      <c r="B130" s="9" t="s">
        <v>442</v>
      </c>
      <c r="C130" s="6" t="s">
        <v>183</v>
      </c>
    </row>
    <row r="131" spans="1:3" ht="15.95" customHeight="1" x14ac:dyDescent="0.25">
      <c r="A131" s="6" t="s">
        <v>184</v>
      </c>
      <c r="B131" s="9" t="s">
        <v>443</v>
      </c>
      <c r="C131" s="6" t="s">
        <v>184</v>
      </c>
    </row>
    <row r="132" spans="1:3" ht="15.95" customHeight="1" x14ac:dyDescent="0.25">
      <c r="A132" s="6" t="s">
        <v>185</v>
      </c>
      <c r="B132" t="s">
        <v>444</v>
      </c>
      <c r="C132" s="6" t="s">
        <v>185</v>
      </c>
    </row>
    <row r="133" spans="1:3" ht="15.95" customHeight="1" x14ac:dyDescent="0.25">
      <c r="A133" s="6" t="s">
        <v>186</v>
      </c>
      <c r="B133" s="10" t="s">
        <v>445</v>
      </c>
      <c r="C133" s="6" t="s">
        <v>186</v>
      </c>
    </row>
    <row r="134" spans="1:3" ht="15.95" customHeight="1" x14ac:dyDescent="0.25">
      <c r="A134" s="6" t="s">
        <v>187</v>
      </c>
      <c r="B134" s="9" t="s">
        <v>446</v>
      </c>
      <c r="C134" s="6" t="s">
        <v>187</v>
      </c>
    </row>
    <row r="135" spans="1:3" ht="15.95" customHeight="1" x14ac:dyDescent="0.25">
      <c r="A135" s="6" t="s">
        <v>188</v>
      </c>
      <c r="B135" s="9" t="s">
        <v>447</v>
      </c>
      <c r="C135" s="6" t="s">
        <v>188</v>
      </c>
    </row>
    <row r="136" spans="1:3" ht="15.95" customHeight="1" x14ac:dyDescent="0.25">
      <c r="A136" s="6" t="s">
        <v>189</v>
      </c>
      <c r="B136" s="9" t="s">
        <v>448</v>
      </c>
      <c r="C136" s="6" t="s">
        <v>189</v>
      </c>
    </row>
    <row r="137" spans="1:3" ht="15.95" customHeight="1" x14ac:dyDescent="0.25">
      <c r="A137" s="6" t="s">
        <v>190</v>
      </c>
      <c r="B137" s="9" t="s">
        <v>449</v>
      </c>
      <c r="C137" s="6" t="s">
        <v>190</v>
      </c>
    </row>
    <row r="138" spans="1:3" ht="15.95" customHeight="1" x14ac:dyDescent="0.25">
      <c r="A138" s="6" t="s">
        <v>191</v>
      </c>
      <c r="B138" s="9" t="s">
        <v>450</v>
      </c>
      <c r="C138" s="6" t="s">
        <v>191</v>
      </c>
    </row>
    <row r="139" spans="1:3" ht="15.95" customHeight="1" x14ac:dyDescent="0.25">
      <c r="A139" s="6" t="s">
        <v>192</v>
      </c>
      <c r="B139" s="9" t="s">
        <v>193</v>
      </c>
      <c r="C139" s="6" t="s">
        <v>192</v>
      </c>
    </row>
    <row r="140" spans="1:3" ht="15.95" customHeight="1" x14ac:dyDescent="0.25">
      <c r="A140" s="6" t="s">
        <v>194</v>
      </c>
      <c r="B140" s="9" t="s">
        <v>195</v>
      </c>
      <c r="C140" s="6" t="s">
        <v>194</v>
      </c>
    </row>
    <row r="141" spans="1:3" ht="15.95" customHeight="1" x14ac:dyDescent="0.25">
      <c r="A141" s="6" t="s">
        <v>196</v>
      </c>
      <c r="B141" s="9" t="s">
        <v>451</v>
      </c>
      <c r="C141" s="6" t="s">
        <v>196</v>
      </c>
    </row>
    <row r="142" spans="1:3" ht="15.95" customHeight="1" x14ac:dyDescent="0.25">
      <c r="A142" s="6" t="s">
        <v>197</v>
      </c>
      <c r="B142" s="9" t="s">
        <v>452</v>
      </c>
      <c r="C142" s="6" t="s">
        <v>197</v>
      </c>
    </row>
    <row r="143" spans="1:3" ht="15.95" customHeight="1" x14ac:dyDescent="0.25">
      <c r="A143" s="6" t="s">
        <v>198</v>
      </c>
      <c r="B143" t="s">
        <v>453</v>
      </c>
      <c r="C143" s="6" t="s">
        <v>198</v>
      </c>
    </row>
    <row r="144" spans="1:3" ht="15.95" customHeight="1" x14ac:dyDescent="0.25">
      <c r="A144" s="6" t="s">
        <v>199</v>
      </c>
      <c r="B144" s="9" t="s">
        <v>454</v>
      </c>
      <c r="C144" s="6" t="s">
        <v>199</v>
      </c>
    </row>
    <row r="145" spans="1:3" ht="15.95" customHeight="1" x14ac:dyDescent="0.25">
      <c r="A145" s="6" t="s">
        <v>200</v>
      </c>
      <c r="B145" s="9" t="s">
        <v>455</v>
      </c>
      <c r="C145" s="6" t="s">
        <v>200</v>
      </c>
    </row>
    <row r="146" spans="1:3" ht="15.95" customHeight="1" x14ac:dyDescent="0.25">
      <c r="A146" s="6" t="s">
        <v>201</v>
      </c>
      <c r="B146" s="9" t="s">
        <v>456</v>
      </c>
      <c r="C146" s="6" t="s">
        <v>201</v>
      </c>
    </row>
    <row r="147" spans="1:3" ht="15.95" customHeight="1" x14ac:dyDescent="0.25">
      <c r="A147" s="6" t="s">
        <v>202</v>
      </c>
      <c r="B147" s="9" t="s">
        <v>457</v>
      </c>
      <c r="C147" s="6" t="s">
        <v>202</v>
      </c>
    </row>
    <row r="148" spans="1:3" ht="15.95" customHeight="1" x14ac:dyDescent="0.25">
      <c r="A148" s="6" t="s">
        <v>203</v>
      </c>
      <c r="B148" t="s">
        <v>458</v>
      </c>
      <c r="C148" s="6" t="s">
        <v>203</v>
      </c>
    </row>
    <row r="149" spans="1:3" ht="15.95" customHeight="1" x14ac:dyDescent="0.25">
      <c r="A149" s="6" t="s">
        <v>204</v>
      </c>
      <c r="B149" s="9" t="s">
        <v>459</v>
      </c>
      <c r="C149" s="6" t="s">
        <v>204</v>
      </c>
    </row>
    <row r="150" spans="1:3" ht="15.95" customHeight="1" x14ac:dyDescent="0.25">
      <c r="A150" s="6" t="s">
        <v>205</v>
      </c>
      <c r="B150" s="9" t="s">
        <v>460</v>
      </c>
      <c r="C150" s="6" t="s">
        <v>205</v>
      </c>
    </row>
    <row r="151" spans="1:3" ht="15.95" customHeight="1" x14ac:dyDescent="0.25">
      <c r="A151" s="6" t="s">
        <v>206</v>
      </c>
      <c r="B151" s="9" t="s">
        <v>461</v>
      </c>
      <c r="C151" s="6" t="s">
        <v>206</v>
      </c>
    </row>
    <row r="152" spans="1:3" ht="15.95" customHeight="1" x14ac:dyDescent="0.25">
      <c r="A152" s="6" t="s">
        <v>207</v>
      </c>
      <c r="B152" s="6" t="s">
        <v>462</v>
      </c>
      <c r="C152" s="6" t="s">
        <v>207</v>
      </c>
    </row>
    <row r="153" spans="1:3" ht="15.95" customHeight="1" x14ac:dyDescent="0.25">
      <c r="A153" s="6" t="s">
        <v>208</v>
      </c>
      <c r="B153" s="9" t="s">
        <v>463</v>
      </c>
      <c r="C153" s="6" t="s">
        <v>208</v>
      </c>
    </row>
    <row r="154" spans="1:3" ht="15.95" customHeight="1" x14ac:dyDescent="0.25">
      <c r="A154" s="6" t="s">
        <v>209</v>
      </c>
      <c r="B154" s="9" t="s">
        <v>464</v>
      </c>
      <c r="C154" s="6" t="s">
        <v>209</v>
      </c>
    </row>
    <row r="155" spans="1:3" ht="15.95" customHeight="1" x14ac:dyDescent="0.25">
      <c r="A155" s="6" t="s">
        <v>210</v>
      </c>
      <c r="B155" s="9" t="s">
        <v>211</v>
      </c>
      <c r="C155" s="6" t="s">
        <v>210</v>
      </c>
    </row>
    <row r="156" spans="1:3" ht="15.95" customHeight="1" x14ac:dyDescent="0.25">
      <c r="A156" s="6" t="s">
        <v>212</v>
      </c>
      <c r="B156" s="9" t="s">
        <v>465</v>
      </c>
      <c r="C156" s="6" t="s">
        <v>212</v>
      </c>
    </row>
    <row r="157" spans="1:3" ht="15.95" customHeight="1" x14ac:dyDescent="0.25">
      <c r="A157" s="6" t="s">
        <v>213</v>
      </c>
      <c r="B157" s="9" t="s">
        <v>214</v>
      </c>
      <c r="C157" s="6" t="s">
        <v>213</v>
      </c>
    </row>
    <row r="158" spans="1:3" ht="15.95" customHeight="1" x14ac:dyDescent="0.25">
      <c r="A158" s="6" t="s">
        <v>215</v>
      </c>
      <c r="B158" t="s">
        <v>466</v>
      </c>
      <c r="C158" s="6" t="s">
        <v>215</v>
      </c>
    </row>
    <row r="159" spans="1:3" ht="15.95" customHeight="1" x14ac:dyDescent="0.25">
      <c r="A159" s="6" t="s">
        <v>216</v>
      </c>
      <c r="B159" s="9" t="s">
        <v>217</v>
      </c>
      <c r="C159" s="6" t="s">
        <v>216</v>
      </c>
    </row>
    <row r="160" spans="1:3" ht="15.95" customHeight="1" x14ac:dyDescent="0.25">
      <c r="A160" s="6" t="s">
        <v>218</v>
      </c>
      <c r="B160" s="9" t="s">
        <v>467</v>
      </c>
      <c r="C160" s="6" t="s">
        <v>218</v>
      </c>
    </row>
    <row r="161" spans="1:3" ht="15.95" customHeight="1" x14ac:dyDescent="0.25">
      <c r="A161" s="6" t="s">
        <v>219</v>
      </c>
      <c r="B161" s="9" t="s">
        <v>468</v>
      </c>
      <c r="C161" s="6" t="s">
        <v>219</v>
      </c>
    </row>
    <row r="162" spans="1:3" ht="15.95" customHeight="1" x14ac:dyDescent="0.25">
      <c r="A162" s="6" t="s">
        <v>220</v>
      </c>
      <c r="B162" s="9" t="s">
        <v>221</v>
      </c>
      <c r="C162" s="6" t="s">
        <v>220</v>
      </c>
    </row>
    <row r="163" spans="1:3" ht="15.95" customHeight="1" x14ac:dyDescent="0.25">
      <c r="A163" s="6" t="s">
        <v>222</v>
      </c>
      <c r="B163" s="9" t="s">
        <v>469</v>
      </c>
      <c r="C163" s="6" t="s">
        <v>222</v>
      </c>
    </row>
    <row r="164" spans="1:3" ht="15.95" customHeight="1" x14ac:dyDescent="0.25">
      <c r="A164" s="6" t="s">
        <v>223</v>
      </c>
      <c r="B164" s="9" t="s">
        <v>470</v>
      </c>
      <c r="C164" s="6" t="s">
        <v>223</v>
      </c>
    </row>
    <row r="165" spans="1:3" ht="15.95" customHeight="1" x14ac:dyDescent="0.25">
      <c r="A165" s="6" t="s">
        <v>224</v>
      </c>
      <c r="B165" s="9" t="s">
        <v>471</v>
      </c>
      <c r="C165" s="6" t="s">
        <v>224</v>
      </c>
    </row>
    <row r="166" spans="1:3" ht="15.95" customHeight="1" x14ac:dyDescent="0.25">
      <c r="A166" s="6" t="s">
        <v>225</v>
      </c>
      <c r="B166" s="9" t="s">
        <v>472</v>
      </c>
      <c r="C166" s="6" t="s">
        <v>225</v>
      </c>
    </row>
    <row r="167" spans="1:3" ht="15.95" customHeight="1" x14ac:dyDescent="0.25">
      <c r="A167" s="6" t="s">
        <v>226</v>
      </c>
      <c r="B167" s="9" t="s">
        <v>227</v>
      </c>
      <c r="C167" s="6" t="s">
        <v>226</v>
      </c>
    </row>
    <row r="168" spans="1:3" ht="15.95" customHeight="1" x14ac:dyDescent="0.25">
      <c r="A168" s="6" t="s">
        <v>228</v>
      </c>
      <c r="B168" t="s">
        <v>473</v>
      </c>
      <c r="C168" s="6" t="s">
        <v>228</v>
      </c>
    </row>
    <row r="169" spans="1:3" ht="15.95" customHeight="1" x14ac:dyDescent="0.25">
      <c r="A169" s="6" t="s">
        <v>229</v>
      </c>
      <c r="B169" s="9" t="s">
        <v>474</v>
      </c>
      <c r="C169" s="6" t="s">
        <v>229</v>
      </c>
    </row>
    <row r="170" spans="1:3" ht="15.95" customHeight="1" x14ac:dyDescent="0.25">
      <c r="A170" s="6" t="s">
        <v>230</v>
      </c>
      <c r="B170" s="9" t="s">
        <v>475</v>
      </c>
      <c r="C170" s="6" t="s">
        <v>230</v>
      </c>
    </row>
    <row r="171" spans="1:3" ht="15.95" customHeight="1" x14ac:dyDescent="0.25">
      <c r="A171" s="6" t="s">
        <v>231</v>
      </c>
      <c r="B171" t="s">
        <v>476</v>
      </c>
      <c r="C171" s="6" t="s">
        <v>231</v>
      </c>
    </row>
    <row r="172" spans="1:3" ht="15.95" customHeight="1" x14ac:dyDescent="0.25">
      <c r="A172" s="6" t="s">
        <v>232</v>
      </c>
      <c r="B172" s="9" t="s">
        <v>477</v>
      </c>
      <c r="C172" s="6" t="s">
        <v>232</v>
      </c>
    </row>
    <row r="173" spans="1:3" ht="15.95" customHeight="1" x14ac:dyDescent="0.25">
      <c r="A173" s="6" t="s">
        <v>233</v>
      </c>
      <c r="B173" s="10" t="s">
        <v>478</v>
      </c>
      <c r="C173" s="6" t="s">
        <v>233</v>
      </c>
    </row>
    <row r="174" spans="1:3" ht="15.95" customHeight="1" x14ac:dyDescent="0.25">
      <c r="A174" s="6" t="s">
        <v>234</v>
      </c>
      <c r="B174" s="10" t="s">
        <v>479</v>
      </c>
      <c r="C174" s="6" t="s">
        <v>234</v>
      </c>
    </row>
    <row r="175" spans="1:3" ht="15.95" customHeight="1" x14ac:dyDescent="0.25">
      <c r="A175" s="6" t="s">
        <v>235</v>
      </c>
      <c r="B175" s="10" t="s">
        <v>480</v>
      </c>
      <c r="C175" s="6" t="s">
        <v>235</v>
      </c>
    </row>
    <row r="176" spans="1:3" ht="15.95" customHeight="1" x14ac:dyDescent="0.25">
      <c r="A176" s="6" t="s">
        <v>236</v>
      </c>
      <c r="B176" s="10" t="s">
        <v>481</v>
      </c>
      <c r="C176" s="6" t="s">
        <v>236</v>
      </c>
    </row>
    <row r="177" spans="1:3" ht="15.95" customHeight="1" x14ac:dyDescent="0.25">
      <c r="A177" s="6" t="s">
        <v>237</v>
      </c>
      <c r="B177" s="9" t="s">
        <v>238</v>
      </c>
      <c r="C177" s="6" t="s">
        <v>237</v>
      </c>
    </row>
    <row r="178" spans="1:3" ht="15.95" customHeight="1" x14ac:dyDescent="0.25">
      <c r="A178" s="6" t="s">
        <v>239</v>
      </c>
      <c r="B178" s="10" t="s">
        <v>240</v>
      </c>
      <c r="C178" s="6" t="s">
        <v>239</v>
      </c>
    </row>
    <row r="179" spans="1:3" ht="15.95" customHeight="1" x14ac:dyDescent="0.25">
      <c r="A179" s="6" t="s">
        <v>241</v>
      </c>
      <c r="B179" s="9" t="s">
        <v>482</v>
      </c>
      <c r="C179" s="6" t="s">
        <v>241</v>
      </c>
    </row>
    <row r="180" spans="1:3" ht="15.95" customHeight="1" x14ac:dyDescent="0.25">
      <c r="A180" s="6" t="s">
        <v>242</v>
      </c>
      <c r="B180" s="9" t="s">
        <v>243</v>
      </c>
      <c r="C180" s="6" t="s">
        <v>242</v>
      </c>
    </row>
    <row r="181" spans="1:3" ht="15.95" customHeight="1" x14ac:dyDescent="0.25">
      <c r="A181" s="6" t="s">
        <v>244</v>
      </c>
      <c r="B181" s="9" t="s">
        <v>483</v>
      </c>
      <c r="C181" s="6" t="s">
        <v>244</v>
      </c>
    </row>
    <row r="182" spans="1:3" ht="15.95" customHeight="1" x14ac:dyDescent="0.25">
      <c r="A182" s="6" t="s">
        <v>245</v>
      </c>
      <c r="B182" s="9" t="s">
        <v>484</v>
      </c>
      <c r="C182" s="6" t="s">
        <v>245</v>
      </c>
    </row>
    <row r="183" spans="1:3" ht="15.95" customHeight="1" x14ac:dyDescent="0.25">
      <c r="A183" s="6" t="s">
        <v>246</v>
      </c>
      <c r="B183" s="9" t="s">
        <v>247</v>
      </c>
      <c r="C183" s="6" t="s">
        <v>246</v>
      </c>
    </row>
    <row r="184" spans="1:3" ht="15.95" customHeight="1" x14ac:dyDescent="0.25">
      <c r="A184" s="6" t="s">
        <v>248</v>
      </c>
      <c r="B184" s="10" t="s">
        <v>485</v>
      </c>
      <c r="C184" s="6" t="s">
        <v>248</v>
      </c>
    </row>
    <row r="185" spans="1:3" ht="15.95" customHeight="1" x14ac:dyDescent="0.25">
      <c r="A185" s="6" t="s">
        <v>249</v>
      </c>
      <c r="B185" s="9" t="s">
        <v>486</v>
      </c>
      <c r="C185" s="6" t="s">
        <v>249</v>
      </c>
    </row>
    <row r="186" spans="1:3" ht="15.95" customHeight="1" x14ac:dyDescent="0.25">
      <c r="A186" s="6" t="s">
        <v>250</v>
      </c>
      <c r="B186" s="6" t="s">
        <v>251</v>
      </c>
      <c r="C186" s="6" t="s">
        <v>250</v>
      </c>
    </row>
    <row r="187" spans="1:3" ht="15.95" customHeight="1" x14ac:dyDescent="0.25">
      <c r="A187" s="6" t="s">
        <v>252</v>
      </c>
      <c r="B187" s="9" t="s">
        <v>487</v>
      </c>
      <c r="C187" s="6" t="s">
        <v>252</v>
      </c>
    </row>
    <row r="188" spans="1:3" ht="15.95" customHeight="1" x14ac:dyDescent="0.25">
      <c r="A188" s="6" t="s">
        <v>253</v>
      </c>
      <c r="B188" s="10" t="s">
        <v>488</v>
      </c>
      <c r="C188" s="6" t="s">
        <v>253</v>
      </c>
    </row>
    <row r="189" spans="1:3" ht="15.95" customHeight="1" x14ac:dyDescent="0.25">
      <c r="A189" s="6" t="s">
        <v>254</v>
      </c>
      <c r="B189" s="9" t="s">
        <v>489</v>
      </c>
      <c r="C189" s="6" t="s">
        <v>254</v>
      </c>
    </row>
    <row r="190" spans="1:3" ht="15.95" customHeight="1" x14ac:dyDescent="0.25">
      <c r="A190" s="6" t="s">
        <v>255</v>
      </c>
      <c r="B190" s="9" t="s">
        <v>490</v>
      </c>
      <c r="C190" s="6" t="s">
        <v>255</v>
      </c>
    </row>
    <row r="191" spans="1:3" ht="15.95" customHeight="1" x14ac:dyDescent="0.25">
      <c r="A191" s="6" t="s">
        <v>256</v>
      </c>
      <c r="B191" s="9" t="s">
        <v>491</v>
      </c>
      <c r="C191" s="6" t="s">
        <v>256</v>
      </c>
    </row>
    <row r="192" spans="1:3" ht="15.95" customHeight="1" x14ac:dyDescent="0.25">
      <c r="A192" s="6" t="s">
        <v>257</v>
      </c>
      <c r="B192" s="6" t="s">
        <v>258</v>
      </c>
      <c r="C192" s="6" t="s">
        <v>257</v>
      </c>
    </row>
    <row r="193" spans="1:3" ht="15.95" customHeight="1" x14ac:dyDescent="0.25">
      <c r="A193" s="6" t="s">
        <v>259</v>
      </c>
      <c r="B193" s="6" t="s">
        <v>260</v>
      </c>
      <c r="C193" s="6" t="s">
        <v>259</v>
      </c>
    </row>
    <row r="194" spans="1:3" ht="15.95" customHeight="1" x14ac:dyDescent="0.25">
      <c r="A194" s="6" t="s">
        <v>261</v>
      </c>
      <c r="B194" s="6" t="s">
        <v>262</v>
      </c>
      <c r="C194" s="6" t="s">
        <v>261</v>
      </c>
    </row>
    <row r="195" spans="1:3" ht="15.95" customHeight="1" x14ac:dyDescent="0.25">
      <c r="A195" s="6" t="s">
        <v>263</v>
      </c>
      <c r="B195" s="9" t="s">
        <v>492</v>
      </c>
      <c r="C195" s="6" t="s">
        <v>263</v>
      </c>
    </row>
    <row r="196" spans="1:3" ht="15.95" customHeight="1" x14ac:dyDescent="0.25">
      <c r="A196" s="6" t="s">
        <v>264</v>
      </c>
      <c r="B196" s="9" t="s">
        <v>493</v>
      </c>
      <c r="C196" s="6" t="s">
        <v>264</v>
      </c>
    </row>
    <row r="197" spans="1:3" ht="15.95" customHeight="1" x14ac:dyDescent="0.25">
      <c r="A197" s="6" t="s">
        <v>265</v>
      </c>
      <c r="B197" s="9" t="s">
        <v>494</v>
      </c>
      <c r="C197" s="6" t="s">
        <v>265</v>
      </c>
    </row>
    <row r="198" spans="1:3" ht="15.95" customHeight="1" x14ac:dyDescent="0.25">
      <c r="A198" s="6" t="s">
        <v>266</v>
      </c>
      <c r="B198" s="9" t="s">
        <v>267</v>
      </c>
      <c r="C198" s="6" t="s">
        <v>266</v>
      </c>
    </row>
    <row r="199" spans="1:3" ht="15.95" customHeight="1" x14ac:dyDescent="0.25">
      <c r="A199" s="6" t="s">
        <v>268</v>
      </c>
      <c r="B199" s="10" t="s">
        <v>495</v>
      </c>
      <c r="C199" s="6" t="s">
        <v>268</v>
      </c>
    </row>
    <row r="200" spans="1:3" ht="15.95" customHeight="1" x14ac:dyDescent="0.25">
      <c r="A200" s="6" t="s">
        <v>269</v>
      </c>
      <c r="B200" s="10" t="s">
        <v>496</v>
      </c>
      <c r="C200" s="6" t="s">
        <v>269</v>
      </c>
    </row>
    <row r="201" spans="1:3" ht="15.95" customHeight="1" x14ac:dyDescent="0.25">
      <c r="A201" s="6" t="s">
        <v>270</v>
      </c>
      <c r="B201" s="6" t="s">
        <v>271</v>
      </c>
      <c r="C201" s="6" t="s">
        <v>270</v>
      </c>
    </row>
    <row r="202" spans="1:3" ht="15.95" customHeight="1" x14ac:dyDescent="0.25">
      <c r="A202" s="6" t="s">
        <v>272</v>
      </c>
      <c r="B202" s="6" t="s">
        <v>273</v>
      </c>
      <c r="C202" s="6" t="s">
        <v>272</v>
      </c>
    </row>
    <row r="203" spans="1:3" ht="15.95" customHeight="1" x14ac:dyDescent="0.25">
      <c r="A203" s="6" t="s">
        <v>274</v>
      </c>
      <c r="B203" s="10" t="s">
        <v>497</v>
      </c>
      <c r="C203" s="6" t="s">
        <v>274</v>
      </c>
    </row>
    <row r="204" spans="1:3" ht="15.95" customHeight="1" x14ac:dyDescent="0.25">
      <c r="A204" s="6" t="s">
        <v>275</v>
      </c>
      <c r="B204" s="10" t="s">
        <v>498</v>
      </c>
      <c r="C204" s="6" t="s">
        <v>275</v>
      </c>
    </row>
    <row r="205" spans="1:3" ht="15.95" customHeight="1" x14ac:dyDescent="0.25">
      <c r="A205" s="6" t="s">
        <v>276</v>
      </c>
      <c r="B205" s="9" t="s">
        <v>499</v>
      </c>
      <c r="C205" s="6" t="s">
        <v>276</v>
      </c>
    </row>
    <row r="206" spans="1:3" ht="15.95" customHeight="1" x14ac:dyDescent="0.25">
      <c r="A206" s="6" t="s">
        <v>277</v>
      </c>
      <c r="B206" s="9" t="s">
        <v>500</v>
      </c>
      <c r="C206" s="6" t="s">
        <v>277</v>
      </c>
    </row>
    <row r="207" spans="1:3" ht="15.95" customHeight="1" x14ac:dyDescent="0.25">
      <c r="A207" s="6" t="s">
        <v>278</v>
      </c>
      <c r="B207" s="9" t="s">
        <v>501</v>
      </c>
      <c r="C207" s="6" t="s">
        <v>278</v>
      </c>
    </row>
    <row r="208" spans="1:3" ht="15.95" customHeight="1" x14ac:dyDescent="0.25">
      <c r="A208" s="6" t="s">
        <v>279</v>
      </c>
      <c r="B208" s="9" t="s">
        <v>502</v>
      </c>
      <c r="C208" s="6" t="s">
        <v>279</v>
      </c>
    </row>
    <row r="209" spans="1:3" ht="15.95" customHeight="1" x14ac:dyDescent="0.25">
      <c r="A209" s="6" t="s">
        <v>280</v>
      </c>
      <c r="B209" s="10" t="s">
        <v>503</v>
      </c>
      <c r="C209" s="6" t="s">
        <v>280</v>
      </c>
    </row>
    <row r="210" spans="1:3" ht="15.95" customHeight="1" x14ac:dyDescent="0.25">
      <c r="A210" s="6" t="s">
        <v>281</v>
      </c>
      <c r="B210" s="10" t="s">
        <v>504</v>
      </c>
      <c r="C210" s="6" t="s">
        <v>281</v>
      </c>
    </row>
    <row r="211" spans="1:3" ht="15.95" customHeight="1" x14ac:dyDescent="0.25">
      <c r="A211" s="6" t="s">
        <v>282</v>
      </c>
      <c r="B211" s="9" t="s">
        <v>283</v>
      </c>
      <c r="C211" s="6" t="s">
        <v>282</v>
      </c>
    </row>
    <row r="212" spans="1:3" ht="15.95" customHeight="1" x14ac:dyDescent="0.25">
      <c r="A212" s="6" t="s">
        <v>284</v>
      </c>
      <c r="B212" s="9" t="s">
        <v>505</v>
      </c>
      <c r="C212" s="6" t="s">
        <v>284</v>
      </c>
    </row>
    <row r="213" spans="1:3" ht="15.95" customHeight="1" x14ac:dyDescent="0.25">
      <c r="A213" s="6" t="s">
        <v>285</v>
      </c>
      <c r="B213" s="6" t="s">
        <v>286</v>
      </c>
      <c r="C213" s="6" t="s">
        <v>285</v>
      </c>
    </row>
    <row r="214" spans="1:3" ht="15.95" customHeight="1" x14ac:dyDescent="0.25">
      <c r="A214" s="6" t="s">
        <v>287</v>
      </c>
      <c r="B214" s="9" t="s">
        <v>506</v>
      </c>
      <c r="C214" s="6" t="s">
        <v>287</v>
      </c>
    </row>
    <row r="215" spans="1:3" ht="15.95" customHeight="1" x14ac:dyDescent="0.25">
      <c r="A215" s="6" t="s">
        <v>288</v>
      </c>
      <c r="B215" s="10" t="s">
        <v>507</v>
      </c>
      <c r="C215" s="6" t="s">
        <v>288</v>
      </c>
    </row>
    <row r="216" spans="1:3" ht="15.95" customHeight="1" x14ac:dyDescent="0.25">
      <c r="A216" s="6" t="s">
        <v>289</v>
      </c>
      <c r="B216" s="6" t="s">
        <v>290</v>
      </c>
      <c r="C216" s="6" t="s">
        <v>289</v>
      </c>
    </row>
    <row r="217" spans="1:3" ht="15.95" customHeight="1" x14ac:dyDescent="0.25">
      <c r="A217" s="6" t="s">
        <v>291</v>
      </c>
      <c r="B217" s="6" t="s">
        <v>292</v>
      </c>
      <c r="C217" s="6" t="s">
        <v>291</v>
      </c>
    </row>
    <row r="218" spans="1:3" ht="15.95" customHeight="1" x14ac:dyDescent="0.25">
      <c r="A218" s="6" t="s">
        <v>293</v>
      </c>
      <c r="B218" s="6" t="s">
        <v>508</v>
      </c>
      <c r="C218" s="6" t="s">
        <v>293</v>
      </c>
    </row>
    <row r="219" spans="1:3" ht="15.95" customHeight="1" x14ac:dyDescent="0.25">
      <c r="A219" s="6" t="s">
        <v>294</v>
      </c>
      <c r="B219" s="10" t="s">
        <v>509</v>
      </c>
      <c r="C219" s="6" t="s">
        <v>294</v>
      </c>
    </row>
    <row r="220" spans="1:3" ht="15.95" customHeight="1" x14ac:dyDescent="0.25">
      <c r="A220" s="6" t="s">
        <v>295</v>
      </c>
      <c r="B220" s="6" t="s">
        <v>510</v>
      </c>
      <c r="C220" s="6" t="s">
        <v>295</v>
      </c>
    </row>
    <row r="221" spans="1:3" ht="15.95" customHeight="1" x14ac:dyDescent="0.25">
      <c r="A221" s="6" t="s">
        <v>296</v>
      </c>
      <c r="B221" s="10" t="s">
        <v>511</v>
      </c>
      <c r="C221" s="6" t="s">
        <v>296</v>
      </c>
    </row>
    <row r="222" spans="1:3" ht="15.95" customHeight="1" x14ac:dyDescent="0.25">
      <c r="A222" s="6" t="s">
        <v>297</v>
      </c>
      <c r="B222" s="9" t="s">
        <v>512</v>
      </c>
      <c r="C222" s="6" t="s">
        <v>297</v>
      </c>
    </row>
    <row r="223" spans="1:3" ht="15.95" customHeight="1" x14ac:dyDescent="0.25">
      <c r="A223" s="6" t="s">
        <v>298</v>
      </c>
      <c r="B223" s="10" t="s">
        <v>513</v>
      </c>
      <c r="C223" s="6" t="s">
        <v>298</v>
      </c>
    </row>
    <row r="224" spans="1:3" ht="15.95" customHeight="1" x14ac:dyDescent="0.25">
      <c r="A224" s="6" t="s">
        <v>299</v>
      </c>
      <c r="B224" s="10" t="s">
        <v>514</v>
      </c>
      <c r="C224" s="6" t="s">
        <v>299</v>
      </c>
    </row>
    <row r="225" spans="1:3" ht="15.95" customHeight="1" x14ac:dyDescent="0.25">
      <c r="A225" s="6" t="s">
        <v>300</v>
      </c>
      <c r="B225" s="9" t="s">
        <v>515</v>
      </c>
      <c r="C225" s="6" t="s">
        <v>300</v>
      </c>
    </row>
    <row r="226" spans="1:3" ht="15.95" customHeight="1" x14ac:dyDescent="0.25">
      <c r="A226" s="6" t="s">
        <v>301</v>
      </c>
      <c r="B226" s="9" t="s">
        <v>516</v>
      </c>
      <c r="C226" s="6" t="s">
        <v>301</v>
      </c>
    </row>
    <row r="227" spans="1:3" ht="15.95" customHeight="1" x14ac:dyDescent="0.25">
      <c r="A227" s="6" t="s">
        <v>302</v>
      </c>
      <c r="B227" s="9" t="s">
        <v>517</v>
      </c>
      <c r="C227" s="6" t="s">
        <v>302</v>
      </c>
    </row>
    <row r="228" spans="1:3" ht="15.95" customHeight="1" x14ac:dyDescent="0.25">
      <c r="A228" s="6" t="s">
        <v>303</v>
      </c>
      <c r="B228" s="9" t="s">
        <v>518</v>
      </c>
      <c r="C228" s="6" t="s">
        <v>303</v>
      </c>
    </row>
    <row r="229" spans="1:3" ht="15.95" customHeight="1" x14ac:dyDescent="0.25">
      <c r="A229" s="6" t="s">
        <v>304</v>
      </c>
      <c r="B229" s="6" t="s">
        <v>519</v>
      </c>
      <c r="C229" s="6" t="s">
        <v>304</v>
      </c>
    </row>
    <row r="230" spans="1:3" ht="15.95" customHeight="1" x14ac:dyDescent="0.25">
      <c r="A230" s="6" t="s">
        <v>305</v>
      </c>
      <c r="B230" s="6" t="s">
        <v>306</v>
      </c>
      <c r="C230" s="6" t="s">
        <v>305</v>
      </c>
    </row>
    <row r="231" spans="1:3" ht="15.95" customHeight="1" x14ac:dyDescent="0.25">
      <c r="A231" s="6" t="s">
        <v>307</v>
      </c>
      <c r="B231" s="6" t="s">
        <v>308</v>
      </c>
      <c r="C231" s="6" t="s">
        <v>307</v>
      </c>
    </row>
    <row r="232" spans="1:3" ht="15.95" customHeight="1" x14ac:dyDescent="0.25">
      <c r="A232" s="6" t="s">
        <v>309</v>
      </c>
      <c r="B232" s="6" t="s">
        <v>310</v>
      </c>
      <c r="C232" s="6" t="s">
        <v>309</v>
      </c>
    </row>
    <row r="233" spans="1:3" ht="15.95" customHeight="1" x14ac:dyDescent="0.25">
      <c r="A233" s="6" t="s">
        <v>311</v>
      </c>
      <c r="B233" s="6" t="s">
        <v>312</v>
      </c>
      <c r="C233" s="6" t="s">
        <v>311</v>
      </c>
    </row>
    <row r="234" spans="1:3" ht="15.95" customHeight="1" x14ac:dyDescent="0.25">
      <c r="A234" s="6" t="s">
        <v>313</v>
      </c>
      <c r="B234" s="10" t="s">
        <v>520</v>
      </c>
      <c r="C234" s="6" t="s">
        <v>313</v>
      </c>
    </row>
    <row r="235" spans="1:3" ht="15.95" customHeight="1" x14ac:dyDescent="0.25">
      <c r="A235" s="6" t="s">
        <v>314</v>
      </c>
      <c r="B235" s="9" t="s">
        <v>521</v>
      </c>
      <c r="C235" s="6" t="s">
        <v>314</v>
      </c>
    </row>
    <row r="236" spans="1:3" ht="15.95" customHeight="1" x14ac:dyDescent="0.25">
      <c r="A236" s="6" t="s">
        <v>315</v>
      </c>
      <c r="B236" s="9" t="s">
        <v>316</v>
      </c>
      <c r="C236" s="6" t="s">
        <v>315</v>
      </c>
    </row>
    <row r="237" spans="1:3" ht="15.95" customHeight="1" x14ac:dyDescent="0.25">
      <c r="A237" s="6" t="s">
        <v>317</v>
      </c>
      <c r="B237" s="9" t="s">
        <v>318</v>
      </c>
      <c r="C237" s="6" t="s">
        <v>317</v>
      </c>
    </row>
    <row r="238" spans="1:3" ht="15.95" customHeight="1" x14ac:dyDescent="0.25">
      <c r="A238" s="6" t="s">
        <v>319</v>
      </c>
      <c r="B238" s="6" t="s">
        <v>320</v>
      </c>
      <c r="C238" s="6" t="s">
        <v>319</v>
      </c>
    </row>
    <row r="239" spans="1:3" ht="15.95" customHeight="1" x14ac:dyDescent="0.25">
      <c r="A239" s="6" t="s">
        <v>321</v>
      </c>
      <c r="B239" s="9" t="s">
        <v>522</v>
      </c>
      <c r="C239" s="6" t="s">
        <v>321</v>
      </c>
    </row>
    <row r="240" spans="1:3" ht="15.95" customHeight="1" x14ac:dyDescent="0.25">
      <c r="A240" s="6" t="s">
        <v>322</v>
      </c>
      <c r="B240" s="9" t="s">
        <v>523</v>
      </c>
      <c r="C240" s="6" t="s">
        <v>322</v>
      </c>
    </row>
    <row r="241" spans="1:3" ht="15.95" customHeight="1" x14ac:dyDescent="0.25">
      <c r="A241" s="6" t="s">
        <v>323</v>
      </c>
      <c r="B241" s="9" t="s">
        <v>324</v>
      </c>
      <c r="C241" s="6" t="s">
        <v>323</v>
      </c>
    </row>
    <row r="242" spans="1:3" ht="15.95" customHeight="1" x14ac:dyDescent="0.25">
      <c r="A242" s="6" t="s">
        <v>325</v>
      </c>
      <c r="B242" s="9" t="s">
        <v>324</v>
      </c>
      <c r="C242" s="6" t="s">
        <v>325</v>
      </c>
    </row>
    <row r="243" spans="1:3" ht="15.95" customHeight="1" x14ac:dyDescent="0.25">
      <c r="A243" s="6" t="s">
        <v>326</v>
      </c>
      <c r="B243" s="10" t="s">
        <v>524</v>
      </c>
      <c r="C243" s="6" t="s">
        <v>326</v>
      </c>
    </row>
    <row r="244" spans="1:3" ht="15.95" customHeight="1" x14ac:dyDescent="0.25">
      <c r="A244" s="6" t="s">
        <v>327</v>
      </c>
      <c r="B244" s="6" t="s">
        <v>328</v>
      </c>
      <c r="C244" s="6" t="s">
        <v>327</v>
      </c>
    </row>
    <row r="245" spans="1:3" ht="15.95" customHeight="1" x14ac:dyDescent="0.25">
      <c r="A245" s="6" t="s">
        <v>329</v>
      </c>
      <c r="B245" s="9" t="s">
        <v>330</v>
      </c>
      <c r="C245" s="6" t="s">
        <v>329</v>
      </c>
    </row>
    <row r="246" spans="1:3" ht="15.95" customHeight="1" x14ac:dyDescent="0.25">
      <c r="A246" s="6" t="s">
        <v>331</v>
      </c>
      <c r="B246" s="6" t="s">
        <v>525</v>
      </c>
      <c r="C246" s="6" t="s">
        <v>331</v>
      </c>
    </row>
    <row r="247" spans="1:3" ht="15.95" customHeight="1" x14ac:dyDescent="0.25">
      <c r="A247" s="6" t="s">
        <v>332</v>
      </c>
      <c r="B247" s="6" t="s">
        <v>526</v>
      </c>
      <c r="C247" s="6" t="s">
        <v>332</v>
      </c>
    </row>
    <row r="248" spans="1:3" ht="15.95" customHeight="1" x14ac:dyDescent="0.25">
      <c r="A248" s="6" t="s">
        <v>333</v>
      </c>
      <c r="B248" s="6" t="s">
        <v>334</v>
      </c>
      <c r="C248" s="6" t="s">
        <v>333</v>
      </c>
    </row>
    <row r="249" spans="1:3" ht="15.95" customHeight="1" x14ac:dyDescent="0.25">
      <c r="A249" s="6" t="s">
        <v>335</v>
      </c>
      <c r="B249" s="10" t="s">
        <v>527</v>
      </c>
      <c r="C249" s="6" t="s">
        <v>335</v>
      </c>
    </row>
    <row r="250" spans="1:3" ht="15.95" customHeight="1" x14ac:dyDescent="0.25">
      <c r="A250" s="6" t="s">
        <v>336</v>
      </c>
      <c r="B250" s="10" t="s">
        <v>528</v>
      </c>
      <c r="C250" s="6" t="s">
        <v>336</v>
      </c>
    </row>
    <row r="251" spans="1:3" ht="15.95" customHeight="1" x14ac:dyDescent="0.25">
      <c r="A251" s="6" t="s">
        <v>337</v>
      </c>
      <c r="B251" s="10" t="s">
        <v>529</v>
      </c>
      <c r="C251" s="6" t="s">
        <v>337</v>
      </c>
    </row>
    <row r="252" spans="1:3" ht="15.95" customHeight="1" x14ac:dyDescent="0.25">
      <c r="A252" s="6" t="s">
        <v>338</v>
      </c>
      <c r="B252" s="9" t="s">
        <v>530</v>
      </c>
      <c r="C252" s="6" t="s">
        <v>338</v>
      </c>
    </row>
  </sheetData>
  <sheetProtection algorithmName="SHA-512" hashValue="wxYrXXYvBQahP/O/L7orj+GNwBEtFnPvfDWZsfc4nyCyWiQ1W9PvJzQK40PSBt6j33s3Jec0ZBN3s05Y6lTEIQ==" saltValue="8XqES3jl4hcchYlzAhFOtw==" spinCount="100000" sheet="1" objects="1" scenarios="1"/>
  <sortState xmlns:xlrd2="http://schemas.microsoft.com/office/spreadsheetml/2017/richdata2" ref="A2:B252">
    <sortCondition ref="B2:B25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activeCell="C18" sqref="C18"/>
    </sheetView>
  </sheetViews>
  <sheetFormatPr defaultColWidth="8.85546875" defaultRowHeight="12.75" x14ac:dyDescent="0.2"/>
  <cols>
    <col min="1" max="1" width="5.42578125" style="33" bestFit="1" customWidth="1"/>
    <col min="2" max="2" width="53" style="33" bestFit="1" customWidth="1"/>
    <col min="3" max="16384" width="8.85546875" style="33"/>
  </cols>
  <sheetData>
    <row r="1" spans="1:3" ht="15.95" customHeight="1" x14ac:dyDescent="0.2">
      <c r="A1" s="31" t="s">
        <v>9</v>
      </c>
      <c r="B1" s="32" t="s">
        <v>10</v>
      </c>
      <c r="C1" s="31" t="s">
        <v>9</v>
      </c>
    </row>
    <row r="2" spans="1:3" ht="15.95" customHeight="1" x14ac:dyDescent="0.2">
      <c r="A2" s="34" t="s">
        <v>531</v>
      </c>
      <c r="B2" s="35" t="s">
        <v>548</v>
      </c>
      <c r="C2" s="34" t="s">
        <v>531</v>
      </c>
    </row>
    <row r="3" spans="1:3" ht="15.95" customHeight="1" x14ac:dyDescent="0.2">
      <c r="A3" s="34" t="s">
        <v>532</v>
      </c>
      <c r="B3" s="35" t="s">
        <v>549</v>
      </c>
      <c r="C3" s="34" t="s">
        <v>532</v>
      </c>
    </row>
    <row r="4" spans="1:3" ht="15.95" customHeight="1" x14ac:dyDescent="0.2">
      <c r="A4" s="34" t="s">
        <v>533</v>
      </c>
      <c r="B4" s="36" t="s">
        <v>550</v>
      </c>
      <c r="C4" s="34" t="s">
        <v>533</v>
      </c>
    </row>
    <row r="5" spans="1:3" ht="15.95" customHeight="1" x14ac:dyDescent="0.2">
      <c r="A5" s="34" t="s">
        <v>534</v>
      </c>
      <c r="B5" s="35" t="s">
        <v>551</v>
      </c>
      <c r="C5" s="34" t="s">
        <v>534</v>
      </c>
    </row>
    <row r="6" spans="1:3" ht="15.95" customHeight="1" x14ac:dyDescent="0.2">
      <c r="A6" s="34" t="s">
        <v>535</v>
      </c>
      <c r="B6" s="36" t="s">
        <v>552</v>
      </c>
      <c r="C6" s="34" t="s">
        <v>535</v>
      </c>
    </row>
    <row r="7" spans="1:3" ht="15.95" customHeight="1" x14ac:dyDescent="0.2">
      <c r="A7" s="34" t="s">
        <v>536</v>
      </c>
      <c r="B7" s="35" t="s">
        <v>553</v>
      </c>
      <c r="C7" s="34" t="s">
        <v>536</v>
      </c>
    </row>
    <row r="8" spans="1:3" ht="15.95" customHeight="1" x14ac:dyDescent="0.2">
      <c r="A8" s="34" t="s">
        <v>537</v>
      </c>
      <c r="B8" s="36" t="s">
        <v>554</v>
      </c>
      <c r="C8" s="34" t="s">
        <v>537</v>
      </c>
    </row>
    <row r="9" spans="1:3" ht="15.95" customHeight="1" x14ac:dyDescent="0.2">
      <c r="A9" s="34" t="s">
        <v>538</v>
      </c>
      <c r="B9" s="36" t="s">
        <v>555</v>
      </c>
      <c r="C9" s="34" t="s">
        <v>538</v>
      </c>
    </row>
    <row r="10" spans="1:3" ht="15.95" customHeight="1" x14ac:dyDescent="0.2">
      <c r="A10" s="34" t="s">
        <v>539</v>
      </c>
      <c r="B10" s="36" t="s">
        <v>556</v>
      </c>
      <c r="C10" s="34" t="s">
        <v>539</v>
      </c>
    </row>
    <row r="11" spans="1:3" ht="15.95" customHeight="1" x14ac:dyDescent="0.2">
      <c r="A11" s="34" t="s">
        <v>540</v>
      </c>
      <c r="B11" s="36" t="s">
        <v>557</v>
      </c>
      <c r="C11" s="34" t="s">
        <v>540</v>
      </c>
    </row>
    <row r="12" spans="1:3" ht="15.95" customHeight="1" x14ac:dyDescent="0.2">
      <c r="A12" s="34" t="s">
        <v>541</v>
      </c>
      <c r="B12" s="36" t="s">
        <v>558</v>
      </c>
      <c r="C12" s="34" t="s">
        <v>541</v>
      </c>
    </row>
    <row r="13" spans="1:3" ht="15.95" customHeight="1" x14ac:dyDescent="0.2">
      <c r="A13" s="34" t="s">
        <v>542</v>
      </c>
      <c r="B13" s="36" t="s">
        <v>559</v>
      </c>
      <c r="C13" s="34" t="s">
        <v>542</v>
      </c>
    </row>
    <row r="14" spans="1:3" ht="15.95" customHeight="1" x14ac:dyDescent="0.2">
      <c r="A14" s="34" t="s">
        <v>543</v>
      </c>
      <c r="B14" s="35" t="s">
        <v>560</v>
      </c>
      <c r="C14" s="34" t="s">
        <v>543</v>
      </c>
    </row>
    <row r="15" spans="1:3" ht="15.95" customHeight="1" x14ac:dyDescent="0.2">
      <c r="A15" s="34" t="s">
        <v>544</v>
      </c>
      <c r="B15" s="35" t="s">
        <v>561</v>
      </c>
      <c r="C15" s="34" t="s">
        <v>544</v>
      </c>
    </row>
    <row r="16" spans="1:3" ht="15.95" customHeight="1" x14ac:dyDescent="0.2">
      <c r="A16" s="34" t="s">
        <v>545</v>
      </c>
      <c r="B16" s="35" t="s">
        <v>562</v>
      </c>
      <c r="C16" s="34" t="s">
        <v>545</v>
      </c>
    </row>
    <row r="17" spans="1:3" ht="15.95" customHeight="1" x14ac:dyDescent="0.2">
      <c r="A17" s="34" t="s">
        <v>546</v>
      </c>
      <c r="B17" s="36" t="s">
        <v>563</v>
      </c>
      <c r="C17" s="34" t="s">
        <v>546</v>
      </c>
    </row>
    <row r="18" spans="1:3" ht="15.95" customHeight="1" x14ac:dyDescent="0.2">
      <c r="A18" s="34" t="s">
        <v>547</v>
      </c>
      <c r="B18" s="36" t="s">
        <v>564</v>
      </c>
      <c r="C18" s="34" t="s">
        <v>547</v>
      </c>
    </row>
    <row r="19" spans="1:3" x14ac:dyDescent="0.2">
      <c r="A19" s="33">
        <v>17</v>
      </c>
      <c r="B19" s="36" t="s">
        <v>585</v>
      </c>
      <c r="C19" s="33">
        <v>17</v>
      </c>
    </row>
    <row r="20" spans="1:3" ht="15" x14ac:dyDescent="0.2">
      <c r="A20" s="33">
        <v>18</v>
      </c>
      <c r="B20" s="37" t="s">
        <v>583</v>
      </c>
      <c r="C20" s="33">
        <v>18</v>
      </c>
    </row>
    <row r="21" spans="1:3" ht="15" x14ac:dyDescent="0.2">
      <c r="A21" s="33">
        <v>19</v>
      </c>
      <c r="B21" s="37" t="s">
        <v>584</v>
      </c>
      <c r="C21" s="33">
        <v>19</v>
      </c>
    </row>
  </sheetData>
  <sheetProtection algorithmName="SHA-512" hashValue="SuLBGwLwiwQycF6N1iheTvEe1CKKWxfRWx0gNKWYmgWNXOIr7EXTiZaNz67og5XJXpKmdY9DAzg6eha109WiSw==" saltValue="murMoiYGKDBea+vjBOQP+A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0C3525E5B693468EB5D312F966A73B" ma:contentTypeVersion="4" ma:contentTypeDescription="Ustvari nov dokument." ma:contentTypeScope="" ma:versionID="1abea2af649b184e9510cdaf3fde0a29">
  <xsd:schema xmlns:xsd="http://www.w3.org/2001/XMLSchema" xmlns:xs="http://www.w3.org/2001/XMLSchema" xmlns:p="http://schemas.microsoft.com/office/2006/metadata/properties" xmlns:ns2="7d0a8908-ec41-4e35-b61d-e1acaba6944a" targetNamespace="http://schemas.microsoft.com/office/2006/metadata/properties" ma:root="true" ma:fieldsID="ae52ff07a0d9861625d96da1c0cca552" ns2:_="">
    <xsd:import namespace="7d0a8908-ec41-4e35-b61d-e1acaba69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a8908-ec41-4e35-b61d-e1acaba69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B10464-F095-4353-910E-5A61ABBE8AAB}">
  <ds:schemaRefs>
    <ds:schemaRef ds:uri="http://schemas.microsoft.com/office/2006/metadata/properties"/>
    <ds:schemaRef ds:uri="http://purl.org/dc/elements/1.1/"/>
    <ds:schemaRef ds:uri="7d0a8908-ec41-4e35-b61d-e1acaba6944a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70630E-BDD9-4CEE-B115-5100B6318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0a8908-ec41-4e35-b61d-e1acaba69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9A9B2D-8E2D-41D5-95D5-7E2E4474E7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6</vt:i4>
      </vt:variant>
    </vt:vector>
  </HeadingPairs>
  <TitlesOfParts>
    <vt:vector size="6" baseType="lpstr">
      <vt:lpstr>Gostje_eTurizem</vt:lpstr>
      <vt:lpstr>Sif_spol</vt:lpstr>
      <vt:lpstr>Sif_prostori</vt:lpstr>
      <vt:lpstr>Sif_dokumenti</vt:lpstr>
      <vt:lpstr>Sif_drzave</vt:lpstr>
      <vt:lpstr>Sif_taksa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</dc:creator>
  <cp:keywords/>
  <dc:description/>
  <cp:lastModifiedBy>Matjaz Svegelj</cp:lastModifiedBy>
  <cp:revision/>
  <dcterms:created xsi:type="dcterms:W3CDTF">2018-04-02T10:34:24Z</dcterms:created>
  <dcterms:modified xsi:type="dcterms:W3CDTF">2025-05-24T07:19:43Z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0x010100E40C3525E5B693468EB5D312F966A73B</vt:lpwstr>
  </property>
</Properties>
</file>